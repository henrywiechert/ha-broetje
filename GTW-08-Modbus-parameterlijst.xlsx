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12"/>
  <workbookPr defaultThemeVersion="124226"/>
  <mc:AlternateContent xmlns:mc="http://schemas.openxmlformats.org/markup-compatibility/2006">
    <mc:Choice Requires="x15">
      <x15ac:absPath xmlns:x15ac="http://schemas.microsoft.com/office/spreadsheetml/2010/11/ac" url="C:\Users\m.gretener\Downloads\"/>
    </mc:Choice>
  </mc:AlternateContent>
  <xr:revisionPtr revIDLastSave="0" documentId="8_{693C36C0-7ECE-4065-B26F-0771AB3170C6}" xr6:coauthVersionLast="47" xr6:coauthVersionMax="47" xr10:uidLastSave="{00000000-0000-0000-0000-000000000000}"/>
  <bookViews>
    <workbookView xWindow="-120" yWindow="-120" windowWidth="29040" windowHeight="15720" tabRatio="697" firstSheet="4" activeTab="4" xr2:uid="{00000000-000D-0000-FFFF-FFFF00000000}"/>
  </bookViews>
  <sheets>
    <sheet name="DataTypes" sheetId="20" r:id="rId1"/>
    <sheet name="DeviceInformationGtw08" sheetId="4" r:id="rId2"/>
    <sheet name="SystemDiscovery" sheetId="2" r:id="rId3"/>
    <sheet name="MainControlMonitoring" sheetId="1" r:id="rId4"/>
    <sheet name="Boiler(Appliance)" sheetId="6" r:id="rId5"/>
    <sheet name="Service" sheetId="5" r:id="rId6"/>
    <sheet name="Zones X12" sheetId="7" r:id="rId7"/>
    <sheet name="BufferTank" sheetId="9" r:id="rId8"/>
    <sheet name="Cascade" sheetId="8" r:id="rId9"/>
    <sheet name="Solar" sheetId="18" r:id="rId10"/>
    <sheet name="Thermodynamic Water Heater" sheetId="17" r:id="rId11"/>
    <sheet name="Hybrid" sheetId="19" r:id="rId12"/>
    <sheet name="BMS" sheetId="16" r:id="rId13"/>
  </sheets>
  <definedNames>
    <definedName name="_xlnm._FilterDatabase" localSheetId="2" hidden="1">SystemDiscovery!$A$3:$H$66</definedName>
    <definedName name="_xlnm._FilterDatabase" localSheetId="6" hidden="1">'Zones X12'!$A$5:$I$109</definedName>
    <definedName name="_xlnm.Print_Titles" localSheetId="4">'Boiler(Appliance)'!$1:$2</definedName>
    <definedName name="_xlnm.Print_Titles" localSheetId="7">BufferTank!$2:$3</definedName>
    <definedName name="_xlnm.Print_Titles" localSheetId="8">Cascade!$2:$3</definedName>
    <definedName name="_xlnm.Print_Titles" localSheetId="3">MainControlMonitoring!$2:$3</definedName>
    <definedName name="_xlnm.Print_Titles" localSheetId="5">Service!$2:$3</definedName>
    <definedName name="_xlnm.Print_Titles" localSheetId="2">SystemDiscovery!$2:$3</definedName>
    <definedName name="_xlnm.Print_Titles" localSheetId="6">'Zones X12'!$2:$5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9" i="7" l="1"/>
  <c r="B6" i="7"/>
  <c r="B7" i="7"/>
  <c r="A45" i="8" l="1"/>
  <c r="A46" i="8" s="1"/>
  <c r="A47" i="8" s="1"/>
  <c r="A48" i="8" s="1"/>
  <c r="A49" i="8" s="1"/>
  <c r="A50" i="8" s="1"/>
  <c r="A51" i="8" s="1"/>
  <c r="A52" i="8" s="1"/>
  <c r="A53" i="8" s="1"/>
  <c r="A54" i="8" s="1"/>
  <c r="A55" i="8" s="1"/>
  <c r="A56" i="8" s="1"/>
  <c r="A57" i="8" s="1"/>
  <c r="A58" i="8" s="1"/>
  <c r="A59" i="8" s="1"/>
  <c r="A60" i="8" s="1"/>
  <c r="A61" i="8" s="1"/>
  <c r="A62" i="8" s="1"/>
  <c r="A63" i="8" s="1"/>
  <c r="A64" i="8" s="1"/>
  <c r="A65" i="8" s="1"/>
  <c r="A66" i="8" s="1"/>
  <c r="A67" i="8" s="1"/>
  <c r="A68" i="8" s="1"/>
  <c r="A69" i="8" s="1"/>
  <c r="A70" i="8" s="1"/>
  <c r="A71" i="8" s="1"/>
  <c r="A72" i="8" s="1"/>
  <c r="A73" i="8" s="1"/>
  <c r="A74" i="8" s="1"/>
  <c r="A75" i="8" s="1"/>
  <c r="A76" i="8" s="1"/>
  <c r="B108" i="7"/>
  <c r="B109" i="7" l="1"/>
  <c r="B107" i="7"/>
  <c r="B106" i="7"/>
  <c r="B105" i="7"/>
  <c r="B104" i="7"/>
  <c r="B103" i="7"/>
  <c r="B102" i="7"/>
  <c r="B101" i="7"/>
  <c r="B100" i="7"/>
  <c r="B99" i="7"/>
  <c r="B98" i="7"/>
  <c r="B97" i="7"/>
  <c r="B96" i="7"/>
  <c r="B95" i="7"/>
  <c r="B94" i="7"/>
  <c r="B93" i="7"/>
  <c r="B92" i="7"/>
  <c r="B91" i="7"/>
  <c r="B87" i="7"/>
  <c r="B86" i="7"/>
  <c r="B85" i="7"/>
  <c r="B83" i="7"/>
  <c r="B82" i="7"/>
  <c r="B81" i="7"/>
  <c r="B80" i="7"/>
  <c r="B79" i="7"/>
  <c r="B78" i="7"/>
  <c r="B77" i="7"/>
  <c r="B76" i="7"/>
  <c r="B75" i="7"/>
  <c r="B74" i="7"/>
  <c r="B73" i="7"/>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23" i="7"/>
  <c r="B22" i="7"/>
  <c r="B21" i="7"/>
  <c r="B20" i="7"/>
  <c r="B19" i="7"/>
  <c r="B18" i="7"/>
  <c r="B17" i="7"/>
  <c r="B16" i="7"/>
  <c r="B15" i="7"/>
  <c r="B13" i="7"/>
  <c r="B12" i="7"/>
  <c r="B10" i="7"/>
  <c r="B9" i="7"/>
  <c r="B8" i="7"/>
  <c r="D15" i="1"/>
  <c r="D12" i="1"/>
  <c r="D11" i="1"/>
</calcChain>
</file>

<file path=xl/sharedStrings.xml><?xml version="1.0" encoding="utf-8"?>
<sst xmlns="http://schemas.openxmlformats.org/spreadsheetml/2006/main" count="2868" uniqueCount="883">
  <si>
    <t>Modbus Data type</t>
  </si>
  <si>
    <t>Data Types</t>
  </si>
  <si>
    <t>Implementation</t>
  </si>
  <si>
    <t>UINT8/ENUM8</t>
  </si>
  <si>
    <t>Data organized as 8-bit unsigned integers. The parameters are read using function code 03d "Read holding registers". Parameters are written using function code 16d "Write multiple registers". UINT8 type of data is accessed through a single register, where the data is found in the lower byte of the register. Data value can be 0–255</t>
  </si>
  <si>
    <t>INT8</t>
  </si>
  <si>
    <t>Data organized as 8-bit signed integers. The parameters are read using function code 03d "Read holding registers". Parameters are written using function code 16d "Write multiple registers". INT8 type of data is accessed through a single register, where the data is found in the lower byte of the register. Data value can be -128,127</t>
  </si>
  <si>
    <t>UINT16</t>
  </si>
  <si>
    <t>Data organized as 16-bit unsigned integers. The parameters are read using function code 03d "Read holding register". Parameters are written using function code 16d "Write multiple registers". UINT16type of data is accessed through a single register. Data value can be 0–65536</t>
  </si>
  <si>
    <t>INT16</t>
  </si>
  <si>
    <t>Data organized as 16-bit signed integers. The parameters are read using function code 03d "Read holding registers". Parameters are written using function code 16d "Write multiple registers". INT16 type of data is accessed through a single register. Data value can be -32768,32767</t>
  </si>
  <si>
    <t>UINT32</t>
  </si>
  <si>
    <t>Data organized as 32-bit unsigned integers. The parameters are read using function code 03d "Read holding registers". Parameters are written using function code 16d "Write multiple registers". UINT32 type of data is accessed through two registers. Data value can be 0, 4294967295</t>
  </si>
  <si>
    <t>Data organized as 32-bit signed integers. The parameters are read using function code 03d "Read holding registers". Parameters are written using function code 16d "Write multiple registers". INT32 type of data is accessed through two registers. Data value can be -2147483648,2147483647</t>
  </si>
  <si>
    <t>OCTETSTRING</t>
  </si>
  <si>
    <t>Consecutive pairs of 8-bit UINT8 stored one pair per 16-bit register. OCTETSTRING are read using function code 03d "Read holding registers". OCTETSTRING are written using function code 16d "Write multiple registers". OCTETSTRING type of data must be read or written as a series of 1 to 25 consecutive registers, depending on the number of UINT8 specified for the OCTETSTRING. The maximum string length is 50 characters</t>
  </si>
  <si>
    <t>VISIBLESTRING</t>
  </si>
  <si>
    <t>Consecutive pairs of 8-bit ASCII characters stored one pair per 16-bit register. Strings are read using function code 03d "Read holding registers". VISIBLESTRING are written using function code 16d "Write multiple registers". VISIBLESTRING type of data must be read or written as a series of 1 to 25 consecutive registers, depending on the number of characters specified for the string. The maximum string length is 50 characters (including. delimiter). Strings are terminated by a zero-delimiter.</t>
  </si>
  <si>
    <t xml:space="preserve">If information is not available on HMI will not be available on GTW-08 </t>
  </si>
  <si>
    <t>Modbus</t>
  </si>
  <si>
    <t>FriendlyName</t>
  </si>
  <si>
    <t>Description</t>
  </si>
  <si>
    <t>No. Of Bytes</t>
  </si>
  <si>
    <t>Data Type</t>
  </si>
  <si>
    <t>Format</t>
  </si>
  <si>
    <t xml:space="preserve">Access </t>
  </si>
  <si>
    <t>Present from version</t>
  </si>
  <si>
    <t>Register</t>
  </si>
  <si>
    <t>Manufacturer Code (= VAT code) of the device</t>
  </si>
  <si>
    <t>R</t>
  </si>
  <si>
    <t>1.00</t>
  </si>
  <si>
    <t>Type of the device GTW-08</t>
  </si>
  <si>
    <t>AP059</t>
  </si>
  <si>
    <t>Alternative Modbus mapping</t>
  </si>
  <si>
    <t>UINT8</t>
  </si>
  <si>
    <t>0: the register 259 is the same as the heat demand PDO 
     (7 : Heating and 8 : Cooling) 
1:  for Siemens systems, register 259 
      (1: Cooling and 2: Heating</t>
  </si>
  <si>
    <t>r/W</t>
  </si>
  <si>
    <t>1.02</t>
  </si>
  <si>
    <t>number of electronic Boards present on the appliance</t>
  </si>
  <si>
    <t>0-16</t>
  </si>
  <si>
    <t>Type of the device located on instance 1( CU-EHC, EEC, SCB,..)</t>
  </si>
  <si>
    <t xml:space="preserve">0xZZYY
ZZ: device category 
YY: number in the category
Device Category ZZ in Hex
00:CU-GH
01:CU-OH
02:EHC
14:MK (HMI)
19:SCB
1B:EEC
1E:Gateway
eg 0x0008= CU_GH08
</t>
  </si>
  <si>
    <t>Software Version of device located on instance 1( CU-EHC, EEC, SCB,..)</t>
  </si>
  <si>
    <t>ex 0x2001=SW02.01</t>
  </si>
  <si>
    <t>configurationTable Version of device located on instance 1( CU-EHC, EEC, SCB,..)</t>
  </si>
  <si>
    <t>ex 0x2001=P02.01</t>
  </si>
  <si>
    <t>Hardware Version of device located on instance 1( CU-EHC, EEC, SCB,..)</t>
  </si>
  <si>
    <t>ex 0x2001=HW02.01</t>
  </si>
  <si>
    <t>Article Number of device located on instance 1( CU-EHC, EEC, SCB,..)</t>
  </si>
  <si>
    <t>Unit</t>
  </si>
  <si>
    <t>Type of the device located on instance 2( CU-EHC, EEC, SCB,..)</t>
  </si>
  <si>
    <t>Software Version of device located on instance 2( CU-EHC, EEC, SCB,..)</t>
  </si>
  <si>
    <t>configurationTable Version of device located on instance 2( CU-EHC, EEC, SCB,..)</t>
  </si>
  <si>
    <t>Hardware Version of device located on instance 2( CU-EHC, EEC, SCB,..)</t>
  </si>
  <si>
    <t>Article Number of device located on instance 2( CU-EHC, EEC, SCB,..)</t>
  </si>
  <si>
    <t>Type of the device located on instance 3( CU-EHC, EEC, SCB,..)</t>
  </si>
  <si>
    <t>Software Version of device located on instance 3( CU-EHC, EEC, SCB,..)</t>
  </si>
  <si>
    <t>configurationTable Version of device located on instance 3( CU-EHC, EEC, SCB,..)</t>
  </si>
  <si>
    <t>Hardware Version of device located on instance 3( CU-EHC, EEC, SCB,..)</t>
  </si>
  <si>
    <t>Article Number of device located on instance 3( CU-EHC, EEC, SCB,..)</t>
  </si>
  <si>
    <t>Type of the device located on instance 4( CU-EHC, EEC, SCB,..)</t>
  </si>
  <si>
    <t>Software Version of device located on instance 4( CU-EHC, EEC, SCB,..)</t>
  </si>
  <si>
    <t>configurationTable Version of device located on instance 4( CU-EHC, EEC, SCB,..)</t>
  </si>
  <si>
    <t>Hardware Version of device located on instance 4( CU-EHC, EEC, SCB,..)</t>
  </si>
  <si>
    <t>Article Number of device located on instance 4( CU-EHC, EEC, SCB,..)</t>
  </si>
  <si>
    <t>Type of the device located on instance 5( CU-EHC, EEC, SCB,..)</t>
  </si>
  <si>
    <t xml:space="preserve">0xZZYY
ZZ: device category 
YY: number in the category
Device Category ZZ in Hex
00:CU-GH
01:CU-OH
02:EHC
15:MK (HMI)
19:SCB
1B:EEC
1E:Gateway
eg 0x0008= CU_GH08
</t>
  </si>
  <si>
    <t>Software Version of device located on instance 5( CU-EHC, EEC, SCB,..)</t>
  </si>
  <si>
    <t>configurationTable Version of device located on instance 5( CU-EHC, EEC, SCB,..)</t>
  </si>
  <si>
    <t>Hardware Version of device located on instance 5( CU-EHC, EEC, SCB,..)</t>
  </si>
  <si>
    <t>Article Number of device located on instance 5( CU-EHC, EEC, SCB,..)</t>
  </si>
  <si>
    <t>Type of the device located on instance 6( CU-EHC, EEC, SCB,..)</t>
  </si>
  <si>
    <t>Software Version of device located on instance 6( CU-EHC, EEC, SCB,..)</t>
  </si>
  <si>
    <t>configurationTable Version of device located on instance 6( CU-EHC, EEC, SCB,..)</t>
  </si>
  <si>
    <t>Hardware Version of device located on instance 6( CU-EHC, EEC, SCB,..)</t>
  </si>
  <si>
    <t>Article Number of device located on instance 6( CU-EHC, EEC, SCB,..)</t>
  </si>
  <si>
    <t>Type of the device located on instance 7( CU-EHC, EEC, SCB,..)</t>
  </si>
  <si>
    <t>Software Version of device located on instance 7( CU-EHC, EEC, SCB,..)</t>
  </si>
  <si>
    <t>configurationTable Version of device located on instance 7( CU-EHC, EEC, SCB,..)</t>
  </si>
  <si>
    <t>Hardware Version of device located on instance 7( CU-EHC, EEC, SCB,..)</t>
  </si>
  <si>
    <t>Article Number of device located on instance 7( CU-EHC, EEC, SCB,..)</t>
  </si>
  <si>
    <t>Type of the device located on instance 8( CU-EHC, EEC, SCB,..)</t>
  </si>
  <si>
    <t>Software Version of device located on instance 8( CU-EHC, EEC, SCB,..)</t>
  </si>
  <si>
    <t>configurationTable Version of device located on instance 8( CU-EHC, EEC, SCB,..)</t>
  </si>
  <si>
    <t>Hardware Version of device located on instance 8( CU-EHC, EEC, SCB,..)</t>
  </si>
  <si>
    <t>Article Number of device located on instance 8( CU-EHC, EEC, SCB,..)</t>
  </si>
  <si>
    <t>Type of the device located on instance 9( CU-EHC, EEC, SCB,..)</t>
  </si>
  <si>
    <t>Software Version of device located on instance 9( CU-EHC, EEC, SCB,..)</t>
  </si>
  <si>
    <t>configurationTable Version of device located on instance 9( CU-EHC, EEC, SCB,..)</t>
  </si>
  <si>
    <t>Hardware Version of device located on instance 9( CU-EHC, EEC, SCB,..)</t>
  </si>
  <si>
    <t>Article Number of device located on instance 9( CU-EHC, EEC, SCB,..)</t>
  </si>
  <si>
    <t>Number of Zones present on the appliance</t>
  </si>
  <si>
    <t>0 - 127</t>
  </si>
  <si>
    <t>Number of Zones Disabled present on the appliance</t>
  </si>
  <si>
    <t>0 -127</t>
  </si>
  <si>
    <t>Number of Zones Heating present on the appliance</t>
  </si>
  <si>
    <t>Number of Zones Heating / Cooling present on the appliance</t>
  </si>
  <si>
    <t>Number of Zones DHW present on the appliance</t>
  </si>
  <si>
    <t>Number of Zones Process Heat present on the appliance</t>
  </si>
  <si>
    <t>Number of Zones Swimming Pool present on the appliance</t>
  </si>
  <si>
    <t>Number of Zones Others (Time Program) present on the appliance</t>
  </si>
  <si>
    <t>Buffer Tank is active on the appliance</t>
  </si>
  <si>
    <t>0 : No
1: Yes</t>
  </si>
  <si>
    <t xml:space="preserve">the appliance is part of a cascade
</t>
  </si>
  <si>
    <t>0 :  No
1: Cascade Master
2: Cascade Slave</t>
  </si>
  <si>
    <t>Reserved for future use</t>
  </si>
  <si>
    <t>Reset discovery table. Set to 0x5A to execute the order. Reset to 0 by the GTW-08</t>
  </si>
  <si>
    <t>R/W</t>
  </si>
  <si>
    <t>Friendly name</t>
  </si>
  <si>
    <t>External Remote Management: Heat demand Power setpoint to send to the CU device</t>
  </si>
  <si>
    <t>%</t>
  </si>
  <si>
    <t>External Remote Management: Heat demand  Temperature setpoint Heating  to send to the CU device</t>
  </si>
  <si>
    <t>0,01°C</t>
  </si>
  <si>
    <t>External Remote Management: Type of control (Montoring or/and remote management</t>
  </si>
  <si>
    <t>ENUM8</t>
  </si>
  <si>
    <t>0 : remote management both (Power and temperature)
1 :remote management Power; 
2 :remote management Temperature
3 : None,remote monotoring only</t>
  </si>
  <si>
    <t>External Remote Management: Type of heat demand</t>
  </si>
  <si>
    <t>0 :  None
7 : Heating
8 : Cooling</t>
  </si>
  <si>
    <t>External Remote Management: Heat demand  Temperature setpoint  Cooling to send to the CU device</t>
  </si>
  <si>
    <t>261-271</t>
  </si>
  <si>
    <t>reserved for futur use</t>
  </si>
  <si>
    <t>Actual power output (Collection of all Actual power received from connected boiler)</t>
  </si>
  <si>
    <t>Appliance Flow Temperature</t>
  </si>
  <si>
    <t>Appliance Return Temperature</t>
  </si>
  <si>
    <t>Status bitfield of the appliance/cascade</t>
  </si>
  <si>
    <t>Bit 0: Direct zones allowed to run
Bit 1: Mixing circuits allowed to run 
 Bit 2: all valves open/ pump running within safety 
Bit 3: Manual heat demand active
Bit 4: CoolingAllowed
Bit 5: DHW circuits allowed to run
Bit 6: Heat Engine Active
Bit 7: Padding</t>
  </si>
  <si>
    <t>Special Status bitfield of the appliance /cascade</t>
  </si>
  <si>
    <t>Bit 0: Shutdown
Bit 1: Heating   
Bit 2: Cooling   
Bit 3: Screed drying
Bit 4: Electric
Bit 5: FrostProtection
Bit 6: SummerWinter
Bit 7: SummerNeutralBand</t>
  </si>
  <si>
    <t>Appliance Current error (0xFFFF means no error)</t>
  </si>
  <si>
    <t xml:space="preserve">0xFFFF= 65535 : No error
otherwise error (eg 0x0207 = "02.07" Water pressure error Cf manual) 
</t>
  </si>
  <si>
    <t xml:space="preserve">Appliance error priority
</t>
  </si>
  <si>
    <t>0 : Locking    
3 : Blocking    
6 : Warning  
255 : No error</t>
  </si>
  <si>
    <t>Appliance status 1</t>
  </si>
  <si>
    <t>Bit 0: Flame or heat generator on
Bit 1: Heat pump is on
Bit 2: Electrical Backup 1 On
Bit 3: Electrical Backup 2 On    
Bit 4: DHW Electrical Backup On   
Bit 5: Service Required
Bit 6: Power-Down Reset Needed
Bit 7: Water Pressure Low</t>
  </si>
  <si>
    <t>Appliance status 2</t>
  </si>
  <si>
    <t>Bit 0: Pump running
Bit 1: Three Way Valve Open
Bit 2: Three Way Valve
Bit 3: Three Way Valve Closed 
Bit 4: DHW Active    
Bit 5: CH Active 
Bit 6: Cooling Active
Bit 7: Solar Active</t>
  </si>
  <si>
    <t>281-287</t>
  </si>
  <si>
    <t>PC002</t>
  </si>
  <si>
    <t>Counter burner starts</t>
  </si>
  <si>
    <t>PC003</t>
  </si>
  <si>
    <t>Counter Burning Hours</t>
  </si>
  <si>
    <t>Hours</t>
  </si>
  <si>
    <t>AC002</t>
  </si>
  <si>
    <t xml:space="preserve">Number of hours appliance was active after service </t>
  </si>
  <si>
    <t>2Hours</t>
  </si>
  <si>
    <t>AC004</t>
  </si>
  <si>
    <t>Number of successful Compressor Starts after service</t>
  </si>
  <si>
    <t>AC030</t>
  </si>
  <si>
    <t>counter Backup1 starts</t>
  </si>
  <si>
    <t>AC028</t>
  </si>
  <si>
    <t>counter Backup1 Hours</t>
  </si>
  <si>
    <t>AC031</t>
  </si>
  <si>
    <t>counter Backup2 starts</t>
  </si>
  <si>
    <t>AC029</t>
  </si>
  <si>
    <t>counter Backup2 Hours</t>
  </si>
  <si>
    <t>AC001</t>
  </si>
  <si>
    <t>Number of hours appliance was active</t>
  </si>
  <si>
    <t>305-339</t>
  </si>
  <si>
    <t>Status bitfields number 1. Relevant for the HMI output</t>
  </si>
  <si>
    <t>-</t>
  </si>
  <si>
    <t>Status bitfields number 2. Relevant for the HMI output</t>
  </si>
  <si>
    <t>Status bitfields number 3. Relevant for the HMI output</t>
  </si>
  <si>
    <t>343-349</t>
  </si>
  <si>
    <t>AP050</t>
  </si>
  <si>
    <t>Appliance Time</t>
  </si>
  <si>
    <t>Absolute time in milliseconds after midnight and the number of days since January 1, 1984</t>
  </si>
  <si>
    <t xml:space="preserve">For all datapoints related to outside sensor, the informations are available 30s after the start up </t>
  </si>
  <si>
    <t>AM027</t>
  </si>
  <si>
    <t>Outside temperature measure</t>
  </si>
  <si>
    <t>AM091</t>
  </si>
  <si>
    <t xml:space="preserve">Seasonal mode active
</t>
  </si>
  <si>
    <t>0: Winter
1:Winter Frost Protection
2:Summer neutral band
3: Summer</t>
  </si>
  <si>
    <t>AP073</t>
  </si>
  <si>
    <t>Outdoor temperature: upper limit for  heating (30,5 means disabled)</t>
  </si>
  <si>
    <t>AP075</t>
  </si>
  <si>
    <t>Only used when genertor could use cooling .Neutral band in which the HP is deactivated</t>
  </si>
  <si>
    <t>AP080</t>
  </si>
  <si>
    <t>Outside temperature below which the antifreeze protection is activated</t>
  </si>
  <si>
    <t>AP074</t>
  </si>
  <si>
    <t>The heating is  stopped. Hot water is  maintained. Force Summer Mode</t>
  </si>
  <si>
    <t>0: Off
1: On</t>
  </si>
  <si>
    <t>1.01</t>
  </si>
  <si>
    <t>Alarm codes when there is an alarm condition</t>
  </si>
  <si>
    <t>1,03</t>
  </si>
  <si>
    <t>390-399</t>
  </si>
  <si>
    <t>Reserved for futur use</t>
  </si>
  <si>
    <t>AM016</t>
  </si>
  <si>
    <t>Flow temperature</t>
  </si>
  <si>
    <t>AM018</t>
  </si>
  <si>
    <t>Return temperature</t>
  </si>
  <si>
    <t>AM036</t>
  </si>
  <si>
    <t>Flue gas temperature</t>
  </si>
  <si>
    <t>HM001</t>
  </si>
  <si>
    <t>heat pump Flow Temperature</t>
  </si>
  <si>
    <t>HM002</t>
  </si>
  <si>
    <t>heat pump return Temperature</t>
  </si>
  <si>
    <t>AM101</t>
  </si>
  <si>
    <t>Internal setpoint used for hot water production</t>
  </si>
  <si>
    <t>PM002</t>
  </si>
  <si>
    <t>Central heating setpoint of the appliance</t>
  </si>
  <si>
    <t>HM033</t>
  </si>
  <si>
    <t>Flow temperature setpoint in cooling mode</t>
  </si>
  <si>
    <t>DM004</t>
  </si>
  <si>
    <t>Flow temperature setpoint  Domestic Hot Water</t>
  </si>
  <si>
    <t>AM019</t>
  </si>
  <si>
    <t>actual Water pressure</t>
  </si>
  <si>
    <t>0,1 bar</t>
  </si>
  <si>
    <t>AM056</t>
  </si>
  <si>
    <t>Flow rate</t>
  </si>
  <si>
    <t>0,01l/min</t>
  </si>
  <si>
    <t>AM012</t>
  </si>
  <si>
    <t>Status of appliance</t>
  </si>
  <si>
    <t>0-255 cf appliance manual</t>
  </si>
  <si>
    <t>AM014</t>
  </si>
  <si>
    <t>Sub Status of appliance</t>
  </si>
  <si>
    <t>AM024</t>
  </si>
  <si>
    <t>Actual relative power produced</t>
  </si>
  <si>
    <t>GM011</t>
  </si>
  <si>
    <t>Power setpoint in % of max</t>
  </si>
  <si>
    <t>GM008</t>
  </si>
  <si>
    <t>Actual flame current measured</t>
  </si>
  <si>
    <t>0,1 µA</t>
  </si>
  <si>
    <t>Internal heat demand  - Power</t>
  </si>
  <si>
    <t xml:space="preserve">Internal heat demand - temperature Setpoint
</t>
  </si>
  <si>
    <t xml:space="preserve">Internal heat demand - heatdemandType
</t>
  </si>
  <si>
    <t xml:space="preserve">0 : None
1 : DHW primary 
2 : DHW high priority 
3 : Process heat
4 : Screed Drying 
5 : DHW medium priority 
6 : DHW low priority 
7 : Central Heating 
8 : Cooling
9 : Electrical active
10: Electrical Reactive </t>
  </si>
  <si>
    <t>Counter burner/compressor starts</t>
  </si>
  <si>
    <t>AC005</t>
  </si>
  <si>
    <t>Total energy consumed for production of central heat</t>
  </si>
  <si>
    <t>1 kWh</t>
  </si>
  <si>
    <t>AC006</t>
  </si>
  <si>
    <t>Total energy consumed for production of domestic hot water.</t>
  </si>
  <si>
    <t>AC007</t>
  </si>
  <si>
    <t>Total energy consumed for cooling production</t>
  </si>
  <si>
    <t>Total energy consumed in the current year(kWh)</t>
  </si>
  <si>
    <t>kWh</t>
  </si>
  <si>
    <t>AC018</t>
  </si>
  <si>
    <t>Total energy consumed by eletrical or hydraulic backup</t>
  </si>
  <si>
    <t xml:space="preserve">Total energy delivered in the current year </t>
  </si>
  <si>
    <t>AC008</t>
  </si>
  <si>
    <t>Energy delivered for Central Heating</t>
  </si>
  <si>
    <t>AC009</t>
  </si>
  <si>
    <t>Energy delivered for Domestic Hot Water</t>
  </si>
  <si>
    <t>AC010</t>
  </si>
  <si>
    <t>Energy delivered for cooling</t>
  </si>
  <si>
    <t>AC019</t>
  </si>
  <si>
    <t>Energy delivered fy Electrical or Hydraulic backup</t>
  </si>
  <si>
    <t>HM069</t>
  </si>
  <si>
    <t>current speed of the condenser pump</t>
  </si>
  <si>
    <t>HC000</t>
  </si>
  <si>
    <t>counter of the operating hours of the condenser pump (also called Hp Pump)</t>
  </si>
  <si>
    <t>HM062</t>
  </si>
  <si>
    <t>the actual current of the ODU as measured by the ODU, is used in the ODU unit to protect against too high current</t>
  </si>
  <si>
    <t>0,1A</t>
  </si>
  <si>
    <t>operation mode of the outdoor unit, in the current contrôle scheme onfle the HEAT(1) and COOL(2) modes are used, The current default is HEAT(1)</t>
  </si>
  <si>
    <t>0 : standby
1 : heating
2 : DHW high priority 
3 : cooling</t>
  </si>
  <si>
    <t>HM003</t>
  </si>
  <si>
    <t>system flow temperature setpoint including backups</t>
  </si>
  <si>
    <t>AM010</t>
  </si>
  <si>
    <t>current pump speed</t>
  </si>
  <si>
    <t>AM047</t>
  </si>
  <si>
    <t>signal used to capture actual power calculation</t>
  </si>
  <si>
    <t>0,01kW</t>
  </si>
  <si>
    <t>HM031</t>
  </si>
  <si>
    <t>Instantaneous COP calculated by Hybrid application</t>
  </si>
  <si>
    <t>1.03</t>
  </si>
  <si>
    <t>HM032</t>
  </si>
  <si>
    <t>COP threshold calculated by hybrid</t>
  </si>
  <si>
    <t>HP061</t>
  </si>
  <si>
    <t>Hybrid mode selected</t>
  </si>
  <si>
    <t>0 : No Hybrid
1 : Hybrid Cost
2 : Hybrid Primary Energy 
3 : Hybrid CO2</t>
  </si>
  <si>
    <t>HP062</t>
  </si>
  <si>
    <t>Hybrid Electricity cost in high tarif</t>
  </si>
  <si>
    <t>HP063</t>
  </si>
  <si>
    <t>Hybrid Electricity cost in low tarif</t>
  </si>
  <si>
    <t>HP064</t>
  </si>
  <si>
    <t>cost of ofssil energy (oil or gas) - piece per litre or peu m3</t>
  </si>
  <si>
    <t>HP065</t>
  </si>
  <si>
    <t>Electrical CO2 emission in heating mode</t>
  </si>
  <si>
    <t>HP066</t>
  </si>
  <si>
    <t>Electrical CO2 emission in DHW mode</t>
  </si>
  <si>
    <t>HP067</t>
  </si>
  <si>
    <t>Gas or Oil CO2 emission</t>
  </si>
  <si>
    <t>HP068</t>
  </si>
  <si>
    <t>Boiler in appliance efficiency</t>
  </si>
  <si>
    <t>HP054</t>
  </si>
  <si>
    <t>COP threshold above which heat pump is authorized to operate when hybrid mode is primary energy</t>
  </si>
  <si>
    <t>AP098</t>
  </si>
  <si>
    <t>Logic contact to take into account for Blocking input 1</t>
  </si>
  <si>
    <t>0 : Open
1 : Closed</t>
  </si>
  <si>
    <t>AP099</t>
  </si>
  <si>
    <t>Logic contact to take into account for Blocking input 2</t>
  </si>
  <si>
    <t>AP100</t>
  </si>
  <si>
    <t>Blocking input 2 setting</t>
  </si>
  <si>
    <t>0 : Not Used
1 : Full Blocking 
2 : Partial Blocking 
3 : User Reset Locking
4 : Backup Relieved 
5 : Generator Relieved 
6 : Generator And Backup relieved 
7 : High Tarif - Low Tarif 
8 : Photovoltaic Heat Pump Only
9 : Photovoltaic Heat Pump and Backup
10: Smart Grid Ready 
11: Heating Colling 
12: Central Heating Blocking</t>
  </si>
  <si>
    <t>AP001</t>
  </si>
  <si>
    <t>Function blocking input</t>
  </si>
  <si>
    <t>DP048</t>
  </si>
  <si>
    <t>Minimum heating time before Domestic Hot Water production</t>
  </si>
  <si>
    <t>1H</t>
  </si>
  <si>
    <t>DP047</t>
  </si>
  <si>
    <t>Maximum time allowed to produce Domestic Hot Water</t>
  </si>
  <si>
    <t>DP051</t>
  </si>
  <si>
    <t>Domestic Hot Water ECO or COMFORT setting</t>
  </si>
  <si>
    <t>0 : Eco Only HP
1: Comfort HP Boiler</t>
  </si>
  <si>
    <t>AM002</t>
  </si>
  <si>
    <t>Low Noise Mode state</t>
  </si>
  <si>
    <t>0: NoSilentMode
1: Silent  Mode Level 1
2: Silent  Mode Level 2
3: Silent  Mode Level 3
4: Silent  Mode Level 4
5: Silent  Mode Level 5</t>
  </si>
  <si>
    <t>HM009</t>
  </si>
  <si>
    <t>Heat Pump Defrost</t>
  </si>
  <si>
    <t>HP029</t>
  </si>
  <si>
    <t>Set the type of backup used in the heat pump.</t>
  </si>
  <si>
    <t>0 : NoBackUp
1 : 1 stage Electrical BackUp
2 : 2 stages Electrical Backup
3: Boiler BackUp</t>
  </si>
  <si>
    <t>Actual relative power produced for PDO output</t>
  </si>
  <si>
    <t>Hybrid Electricity cost in high tarif accurate</t>
  </si>
  <si>
    <t>0.01</t>
  </si>
  <si>
    <t>Hybrid Electricity cost in low tarif accurate</t>
  </si>
  <si>
    <t>Cost of fossil energy (oil or gas) - price per liter or per m3 accurate</t>
  </si>
  <si>
    <t>HP000</t>
  </si>
  <si>
    <t>Outside temperature level above which the backup operation is blocked for a standard heating mode</t>
  </si>
  <si>
    <t>0.01°C</t>
  </si>
  <si>
    <t>HP030</t>
  </si>
  <si>
    <t>Delay for starting the next generator (backup stage) in central heating mode</t>
  </si>
  <si>
    <t>1 min</t>
  </si>
  <si>
    <t>HP051</t>
  </si>
  <si>
    <t>Minimum oustide temperature below which Heat Pump is stopped</t>
  </si>
  <si>
    <t>HP058</t>
  </si>
  <si>
    <t>Enabling Heat pump Silent mode</t>
  </si>
  <si>
    <t>0: NoSilentMode
1: SilentModeLevel1
2: SilentModeLevel2
3: SilentModeLevel3
4: SilentModeLevel4
5: SilentModeLevel5</t>
  </si>
  <si>
    <t>HP094</t>
  </si>
  <si>
    <t>Start time for low noise function</t>
  </si>
  <si>
    <t>1 Hour minute</t>
  </si>
  <si>
    <t>HP095</t>
  </si>
  <si>
    <t>stop time for low noise</t>
  </si>
  <si>
    <t>1 Hour Minute</t>
  </si>
  <si>
    <t>AC027</t>
  </si>
  <si>
    <t>Total amount of pump starts</t>
  </si>
  <si>
    <t>495-499</t>
  </si>
  <si>
    <t>AP016</t>
  </si>
  <si>
    <t xml:space="preserve">Enable central heating heat demand processing
</t>
  </si>
  <si>
    <t>AP017</t>
  </si>
  <si>
    <t xml:space="preserve">Enable domestic hot water heat demand processing
</t>
  </si>
  <si>
    <t>AP028</t>
  </si>
  <si>
    <t xml:space="preserve">Defines the type of cooling used either active or free cooling:
</t>
  </si>
  <si>
    <t>0 :  OFF
1: Active cooling on
2: Free cooling on</t>
  </si>
  <si>
    <t>AP015</t>
  </si>
  <si>
    <t xml:space="preserve">Force manually the heat pump in cooling mode
</t>
  </si>
  <si>
    <t>0: No
1: Yes</t>
  </si>
  <si>
    <t>Access</t>
  </si>
  <si>
    <t>AM011</t>
  </si>
  <si>
    <t xml:space="preserve">Service is required
</t>
  </si>
  <si>
    <t xml:space="preserve">Current or upcoming service notification </t>
  </si>
  <si>
    <t>Next Service (CF Manual)
1=A, 
2=B, 
3=C, 
4=Custom</t>
  </si>
  <si>
    <t>2 Hours (eg 0x500 = 2560 Hours</t>
  </si>
  <si>
    <t>AC003</t>
  </si>
  <si>
    <t>Number of hours since the previous servicing of the appliance</t>
  </si>
  <si>
    <t>2 Hours</t>
  </si>
  <si>
    <t>Number of successful generator starts since the previous servicing</t>
  </si>
  <si>
    <t>518-530</t>
  </si>
  <si>
    <t>Current error generic code</t>
  </si>
  <si>
    <t>0-255</t>
  </si>
  <si>
    <t>Error present on the appliance</t>
  </si>
  <si>
    <t xml:space="preserve">0: No error
1: at least One of device on the appliance had an error </t>
  </si>
  <si>
    <t xml:space="preserve">Code error of the device located on instance 1(CF System Discovery table Modbus Address 129)
</t>
  </si>
  <si>
    <t xml:space="preserve">0xFFFF: No error
0xFFFE: Device Not availabe
otherwise error (eg 0x0207 = "02.07" Water pressure error Cf manual) </t>
  </si>
  <si>
    <t xml:space="preserve">Error gravity  error of the device located on instance 1
</t>
  </si>
  <si>
    <t>0 : Locking
3 : Blocking
6 : Warning
0xFF : no error
0xFE : Device Not availabe (since version 1.01)</t>
  </si>
  <si>
    <t xml:space="preserve">Code error of the device located on instance 2(CF System Discovery table Modbus Address 135)
</t>
  </si>
  <si>
    <t xml:space="preserve">0xFFFF: No error
otherwise error (eg 0x0207 = "02.07" Water pressure error Cf manual) </t>
  </si>
  <si>
    <t xml:space="preserve">Error gravity  error of the device located on instance 2
</t>
  </si>
  <si>
    <t>0 : Locking
3 : Blocking
6 : Warning
0xFE : Device Not availabe (since version 1.01)</t>
  </si>
  <si>
    <t xml:space="preserve">Code error of the device located on instance 3(CF System Discovery table Modbus Address 141)
</t>
  </si>
  <si>
    <t xml:space="preserve">Error gravity  error of the device located on instance 3
</t>
  </si>
  <si>
    <t xml:space="preserve">Code error of the device located on instance 4(CF System Discovery table Modbus Address 147)
</t>
  </si>
  <si>
    <t xml:space="preserve">Error gravity  error of the device located on instance 4
</t>
  </si>
  <si>
    <t xml:space="preserve">Code error of the device located on instance 5(CF System Discovery table Modbus Address 153)
</t>
  </si>
  <si>
    <t xml:space="preserve">Error gravity  error of the device located on instance 5
</t>
  </si>
  <si>
    <t xml:space="preserve">Code error of the device located on instance 6(CF System Discovery table Modbus Address 159)
</t>
  </si>
  <si>
    <t xml:space="preserve">Error gravity  error of the device located on instance 6
</t>
  </si>
  <si>
    <t xml:space="preserve">Code error of the device located on instance 7(CF System Discovery table Modbus Address 165)
</t>
  </si>
  <si>
    <t xml:space="preserve">Error gravity  error of the device located on instance 7
</t>
  </si>
  <si>
    <t xml:space="preserve">Code error of the device located on instance 8(CF System Discovery table Modbus Address 171)
</t>
  </si>
  <si>
    <t xml:space="preserve">Error gravity  error of the device located on instance 8
</t>
  </si>
  <si>
    <t xml:space="preserve">Code error of the device located on instance 9(CF System Discovery table Modbus Address 177)
</t>
  </si>
  <si>
    <t xml:space="preserve">Error gravity  error of the device located on instance 9
</t>
  </si>
  <si>
    <t xml:space="preserve">Code error of the device located on instance 10(CF System Discovery table Modbus Address 183)
</t>
  </si>
  <si>
    <t xml:space="preserve">Error gravity  error of the device located on instance 10
</t>
  </si>
  <si>
    <t>The GTW-08 will support 12 zones all the zones will have the same mapping
Each Zone will have 512 modbus register reserved</t>
  </si>
  <si>
    <t>Modbus Register</t>
  </si>
  <si>
    <t>Enter Zone Number to calculate corresponding modbus address :</t>
  </si>
  <si>
    <t xml:space="preserve">FriendlyName depending on zone index on the board or if it's DHW primary </t>
  </si>
  <si>
    <t xml:space="preserve">Type of the zone requested
</t>
  </si>
  <si>
    <t>0:  Not Present 
1:  CH Only
2: CH + COOLING
3 : DHW
4: Process Heat
5: Swimming Pool
254 : Other (e.g. Time Program)</t>
  </si>
  <si>
    <t>CP020 to CP029</t>
  </si>
  <si>
    <t xml:space="preserve">Function of zone
</t>
  </si>
  <si>
    <t>0 : Disabled
1: Direct
2: Mixing Circuit
3: Swimming Pool
4: High Temperature
5: Fan Convector
6 : DHW Tank
7: Electrical DHW Tank
8: Time Program
9: Process Heat
10 : DHW Layered
11 DHW BIC
12 : DHW commercial Tank
254:DHW primary</t>
  </si>
  <si>
    <t>Zone Short Name</t>
  </si>
  <si>
    <t>VISIBLE_STRING</t>
  </si>
  <si>
    <t>eg "CIRCA1"</t>
  </si>
  <si>
    <t>643-644</t>
  </si>
  <si>
    <t>Device Type of the board where the zone is located</t>
  </si>
  <si>
    <t>device instance owning the zone (CF system discovery Table)</t>
  </si>
  <si>
    <t>CP010 to CP019</t>
  </si>
  <si>
    <t>Temperature setpoint for Zone when Outside sensor not present</t>
  </si>
  <si>
    <t>CP320 to CP329 or DP200</t>
  </si>
  <si>
    <t>Mode Zone Working</t>
  </si>
  <si>
    <t xml:space="preserve">
 0:Scheduling 
1:Manual 
2:Antifrost</t>
  </si>
  <si>
    <t>CP080/CP086/CP092/CP098/CP104
CP110/CP116/CP122/CP128/CP134</t>
  </si>
  <si>
    <t>Setpoint temperature of the user activity per zone</t>
  </si>
  <si>
    <t>0,1°C</t>
  </si>
  <si>
    <t>CP081/CP087/CP093/CP099/CP105
CP111/CP117/CP123/CP129/CP135</t>
  </si>
  <si>
    <t>CP082/CP088/CP094/CP100/CP106
CP111/CP117/CP123/CP130/CP136</t>
  </si>
  <si>
    <t>CP083/CP093/CP103/CP113/CP123
CP133/CP143/CP153/CP163/CP137</t>
  </si>
  <si>
    <t>CP084/CP094/CP104/CP114/CP124
CP134/CP144/CP154/CP164/CP138</t>
  </si>
  <si>
    <t>CP070 to CP079</t>
  </si>
  <si>
    <t>Room setpoint to switch from comfort to reduce in heating mode</t>
  </si>
  <si>
    <t>CP140/CP146/CP152/CP158/CP164
CP170/CP176/CP182/CP188/CP194</t>
  </si>
  <si>
    <t>Room Setpoint temperature of the user activity per zone in cooling</t>
  </si>
  <si>
    <t>CP141/CP147/CP153/CP159/CP165
CP171/CP177/CP183/CP189/CP195</t>
  </si>
  <si>
    <t>CP142/CP148/CP154/CP160/CP166
CP172/CP178/CP184/CP190/CP196</t>
  </si>
  <si>
    <t>CP143/CP149/CP155/CP161/CP167
CP173/CP179/CP185/CP191/CP197</t>
  </si>
  <si>
    <t>CP144/CP150/CP156/CP162/CP168
CP174/CP150/CP186/CP192/CP198</t>
  </si>
  <si>
    <t>CP650 to CP659</t>
  </si>
  <si>
    <t>Room setpoint to switch from comfort to reduce in cooling mode</t>
  </si>
  <si>
    <t>CP060 to CP069</t>
  </si>
  <si>
    <t>Wished room temperature in holiday period of the zone</t>
  </si>
  <si>
    <t>CP510 to CP519</t>
  </si>
  <si>
    <t>Temporary room setpoint per zone</t>
  </si>
  <si>
    <t>CP200 to CP209</t>
  </si>
  <si>
    <t>Manually set wished room temperature of the zone</t>
  </si>
  <si>
    <t>CP350 to CP359 or DP070</t>
  </si>
  <si>
    <t xml:space="preserve">
Wished comfort domestic hot water temperature</t>
  </si>
  <si>
    <t>CP360 to CP369 or DP080</t>
  </si>
  <si>
    <t xml:space="preserve">
Wished reduced domestic hot water temperature</t>
  </si>
  <si>
    <t>CP370 to CP379 or DP337</t>
  </si>
  <si>
    <t xml:space="preserve">
Wished holiday domestic hot water temperature</t>
  </si>
  <si>
    <t>CP380 to CP389 or DP160</t>
  </si>
  <si>
    <t xml:space="preserve">
Antilegionel setpoint for zone Tank</t>
  </si>
  <si>
    <t>CP540 to CP549</t>
  </si>
  <si>
    <t>Swimming pool temperature set point requested</t>
  </si>
  <si>
    <t>CP600 to CP609 or DP070</t>
  </si>
  <si>
    <t>Setpoint during "Process Heat" heat demand</t>
  </si>
  <si>
    <t>CP780 to CP789</t>
  </si>
  <si>
    <t xml:space="preserve">Use the room control and/or weather-compensated control strategies for flow setpoint calculation
</t>
  </si>
  <si>
    <t>0: AUTO (switch to the most accurate mode)
1: Room Temperature Control RTC
2:Oustide Temperature Control OTC
3: Outside and Room Temperature Control OTC+RTC</t>
  </si>
  <si>
    <t>CP000 to CP009 or DP046</t>
  </si>
  <si>
    <t xml:space="preserve">Zone Maximal Flow temperature setpoint
</t>
  </si>
  <si>
    <t>CP270 to CP279</t>
  </si>
  <si>
    <t>Flow temperature set point requested during cooling</t>
  </si>
  <si>
    <t>CP230 to CP239</t>
  </si>
  <si>
    <t>Slope of the heat curve of the zone</t>
  </si>
  <si>
    <t>CP210 to CP219</t>
  </si>
  <si>
    <t>Curve base temperature in comfort mode</t>
  </si>
  <si>
    <t>0,1°C (15°C = OFF)</t>
  </si>
  <si>
    <t>CP220 to CP229</t>
  </si>
  <si>
    <t xml:space="preserve">
Curve base temperature in reduce mode
</t>
  </si>
  <si>
    <t>CP750 to CP759</t>
  </si>
  <si>
    <t xml:space="preserve">
Maximum pre-heat time</t>
  </si>
  <si>
    <t>1 Min</t>
  </si>
  <si>
    <t>CP050 to CP059</t>
  </si>
  <si>
    <t>Shift between setpoint calculated and setpoint send to consumer manager for mixing zone</t>
  </si>
  <si>
    <t>CP030 to CP039</t>
  </si>
  <si>
    <t>Bandwith of mixing valve of zone in which modulation takes place.If zone doesn't have a mixing valve, parameter will be ignored for that zone.</t>
  </si>
  <si>
    <t>CP420 to CP429 or DP006</t>
  </si>
  <si>
    <t>hysteresis DHW tank loading</t>
  </si>
  <si>
    <t>CP700 to CP709 or DP034</t>
  </si>
  <si>
    <t>Dhw Calorifier Offset</t>
  </si>
  <si>
    <t>CP710 to CP719 or DP005</t>
  </si>
  <si>
    <t>Increase flow temperature setpoint above required tank temp. Delta T to heat the tank</t>
  </si>
  <si>
    <t>CP610 to CP619</t>
  </si>
  <si>
    <t>Hysteresis switched on for Process Heat per zone</t>
  </si>
  <si>
    <t>CP620 to CP629</t>
  </si>
  <si>
    <t>Hysteresis switched off for Process Heat per zone</t>
  </si>
  <si>
    <t>CP720 to CP729</t>
  </si>
  <si>
    <t>CP420 to CP429 or DP120</t>
  </si>
  <si>
    <t>hysteresis to start DHW tank load</t>
  </si>
  <si>
    <t>CP040 to CP049 or DP020</t>
  </si>
  <si>
    <t>Delay of post operation of the zone pump</t>
  </si>
  <si>
    <t>1 Min (DP020 : Sec)</t>
  </si>
  <si>
    <t>CP570 to CP579 or DP060</t>
  </si>
  <si>
    <t xml:space="preserve">Time Program Selected by the user
</t>
  </si>
  <si>
    <t>0:Schedule 1
1 : Schedule  2
2 : Schedule  3</t>
  </si>
  <si>
    <t>Time program 1</t>
  </si>
  <si>
    <t>OCTET_STRING</t>
  </si>
  <si>
    <t>Time program 2</t>
  </si>
  <si>
    <t>Time program 3</t>
  </si>
  <si>
    <t>Time program 4 Cooling</t>
  </si>
  <si>
    <t>960-970</t>
  </si>
  <si>
    <t>Start Time holiday Mode</t>
  </si>
  <si>
    <t>Absolute time in milliseconds after midnight and the number of days since January 1, 1984.
Timestamp format : Time_Of_Day</t>
  </si>
  <si>
    <t>End Time holiday Mode</t>
  </si>
  <si>
    <t>End  change mode Time</t>
  </si>
  <si>
    <t>979-990</t>
  </si>
  <si>
    <t>CP280 to CP289</t>
  </si>
  <si>
    <t>982-1099</t>
  </si>
  <si>
    <t>CM040 to CM049 or BM000</t>
  </si>
  <si>
    <t>Temperature of the flow water in the zone. In the case of DHW this is the outgoing DHW temperature.</t>
  </si>
  <si>
    <t>CM070 to CM079 or DM004</t>
  </si>
  <si>
    <t>Current flow temperature setpoint</t>
  </si>
  <si>
    <t>CM190 to CM199</t>
  </si>
  <si>
    <t>Current room temperature  setpoint requested</t>
  </si>
  <si>
    <t>CM210 to CM219</t>
  </si>
  <si>
    <t>Zone Outside Temperature</t>
  </si>
  <si>
    <t>CM030 to CM039</t>
  </si>
  <si>
    <t>Current room temperature for zone</t>
  </si>
  <si>
    <t>CM260 to CM269</t>
  </si>
  <si>
    <t>High resolution room temperature measure used for the room temperature control of the zone module</t>
  </si>
  <si>
    <t>CM150 to CM159</t>
  </si>
  <si>
    <t xml:space="preserve">On off heat demand acitve
</t>
  </si>
  <si>
    <t>0 : OFF
1: ON</t>
  </si>
  <si>
    <t>CM130 to CM139 or DM019</t>
  </si>
  <si>
    <t xml:space="preserve">Current active zone activity
</t>
  </si>
  <si>
    <t>0: Antifrost
1:Reduced
2:Comfort
3:Legionnel</t>
  </si>
  <si>
    <t>CM120 to CM129 or DM009</t>
  </si>
  <si>
    <t xml:space="preserve">Current running mode on the Zone
</t>
  </si>
  <si>
    <t>0:Scheduling
1:Manual
2:Antifrost
3:Temporary
4:Holiday</t>
  </si>
  <si>
    <t>CM200 to CM209</t>
  </si>
  <si>
    <t xml:space="preserve">Current mode that the zone is functioning in.
</t>
  </si>
  <si>
    <t>0:Standby
1:Heating
2:Cooling</t>
  </si>
  <si>
    <t>CM050 to CM059 or AM001</t>
  </si>
  <si>
    <t xml:space="preserve">Zone pump is running
</t>
  </si>
  <si>
    <t>0 : NO
1: YES</t>
  </si>
  <si>
    <t>CM010 to CM019</t>
  </si>
  <si>
    <t>Mixing valve closed</t>
  </si>
  <si>
    <t>CM020 to CM029</t>
  </si>
  <si>
    <t>Mixing valve Open</t>
  </si>
  <si>
    <t>CM290 to CM299</t>
  </si>
  <si>
    <t xml:space="preserve">
Secondary Pump status used for the swimming Pool
</t>
  </si>
  <si>
    <t>CM300 to CM309</t>
  </si>
  <si>
    <t xml:space="preserve">
Output status used for Electrical backup
</t>
  </si>
  <si>
    <t>CC001 to CC009 or DC005</t>
  </si>
  <si>
    <t>Numbers of hours pump has to run</t>
  </si>
  <si>
    <t>CC010 to CC019 or DC002</t>
  </si>
  <si>
    <t xml:space="preserve">
Numbers of pump starts</t>
  </si>
  <si>
    <t>Units</t>
  </si>
  <si>
    <t>CM040 to CM049 or DM001</t>
  </si>
  <si>
    <t>Tank temperature DHW tank (bottom sensor)</t>
  </si>
  <si>
    <t>CM250 to CM259 or DM006</t>
  </si>
  <si>
    <t>Tank temperature DHW tank (Top sensor)</t>
  </si>
  <si>
    <t>BP014</t>
  </si>
  <si>
    <t xml:space="preserve">
Hysteresis to start buffer loading
</t>
  </si>
  <si>
    <t>BP019</t>
  </si>
  <si>
    <t xml:space="preserve">
Hysteresis to stop buffer tank loading
</t>
  </si>
  <si>
    <t>BP015</t>
  </si>
  <si>
    <t xml:space="preserve">Minimum duration of post-operation of the buffer tank pump
</t>
  </si>
  <si>
    <t>BP002</t>
  </si>
  <si>
    <t xml:space="preserve">Heating Cooling Control strategy used with buffer tank
</t>
  </si>
  <si>
    <t>0: Fixed Setpoint
1: Calculated Setpoint
2: Dedicated Slope</t>
  </si>
  <si>
    <t>BP003</t>
  </si>
  <si>
    <t>Fixed setpoint requested by buffer tank in Heating Mode</t>
  </si>
  <si>
    <t>BP004</t>
  </si>
  <si>
    <t>Fixed setpoint requested by buffer tank in Cooling Mode</t>
  </si>
  <si>
    <t>BP005</t>
  </si>
  <si>
    <t xml:space="preserve">
Buffer Tank Slope</t>
  </si>
  <si>
    <t>BP013</t>
  </si>
  <si>
    <t>Offset to add to the calculate Setpoint</t>
  </si>
  <si>
    <t>Time program buffer tank</t>
  </si>
  <si>
    <t>7578 -7599</t>
  </si>
  <si>
    <t>BM001</t>
  </si>
  <si>
    <t xml:space="preserve">
Measured buffer temperature bottom</t>
  </si>
  <si>
    <t>BM002</t>
  </si>
  <si>
    <t xml:space="preserve">Measured buffer temperature top
</t>
  </si>
  <si>
    <t>BM021</t>
  </si>
  <si>
    <t xml:space="preserve">State buffer tank pump
</t>
  </si>
  <si>
    <t>0: OFF
1: ON</t>
  </si>
  <si>
    <t>BM020</t>
  </si>
  <si>
    <t xml:space="preserve">The buffer tank Mode
</t>
  </si>
  <si>
    <t>0 : Decoupling Tank
1 : Storage Tank</t>
  </si>
  <si>
    <t>Buffer Tank winning heat demand request : the winning heat demand requested by the zones connected after the buffer tank - Power</t>
  </si>
  <si>
    <t xml:space="preserve">Buffer Tank winning heat demand request : the winning heat demand requested by the zones connected after the buffer tank - temperature Setpoint
</t>
  </si>
  <si>
    <t xml:space="preserve">Buffer Tank winning heat demand request : the winning heat demand requested by the zones connected after the buffer tank - heatdemandType
</t>
  </si>
  <si>
    <t xml:space="preserve">Appliance Number on cascade:
</t>
  </si>
  <si>
    <t>1 :Master
3 - 127 : Slave
255: not part of cascade</t>
  </si>
  <si>
    <t>NP014</t>
  </si>
  <si>
    <t>Mode on cascade</t>
  </si>
  <si>
    <t>0 :Automatic
1 : Heating Only
2 : Cooling Only</t>
  </si>
  <si>
    <t>NP006</t>
  </si>
  <si>
    <t>Type of Cascade :  Traditional or PARALLEL</t>
  </si>
  <si>
    <t xml:space="preserve">0 :TRADITIONAL
1 : PARALLEL
</t>
  </si>
  <si>
    <t>NP005</t>
  </si>
  <si>
    <t>This parameter is used to set the master boiler.</t>
  </si>
  <si>
    <t xml:space="preserve"> 0: The master boiler switches automatically every 7 days
1 -127: The master boiler is always the one defined by this value</t>
  </si>
  <si>
    <t>NP009</t>
  </si>
  <si>
    <t>Time delay for starting up or shutting down producers</t>
  </si>
  <si>
    <t>Min</t>
  </si>
  <si>
    <t>NP007</t>
  </si>
  <si>
    <t>Outside temperature triggering all stages in parallel mode</t>
  </si>
  <si>
    <t>NP010</t>
  </si>
  <si>
    <t>NP012</t>
  </si>
  <si>
    <t xml:space="preserve">
Rise Time to Acheive Setpoint</t>
  </si>
  <si>
    <t>0-10</t>
  </si>
  <si>
    <t>AP083</t>
  </si>
  <si>
    <t>Enabled the master functionnality of this device one the S-Bus, If multople devices have this parameter all will be reset to 0 automatically,</t>
  </si>
  <si>
    <t>0 : No 
1: Yes</t>
  </si>
  <si>
    <t>NP011</t>
  </si>
  <si>
    <t>choice of cascade algorithm type, power or temperature</t>
  </si>
  <si>
    <t>0 : Temperature 
1 : Power</t>
  </si>
  <si>
    <t>NP289</t>
  </si>
  <si>
    <t xml:space="preserve">The maximum flow temperature the système is allowed to produce </t>
  </si>
  <si>
    <t>NP223</t>
  </si>
  <si>
    <t>the type of start order permutation, to determine which producer to start first</t>
  </si>
  <si>
    <t>0 : Fixed Time
1: Operating hours</t>
  </si>
  <si>
    <t>NP281</t>
  </si>
  <si>
    <t>The time that needs to be elapsed before switching the appliance order</t>
  </si>
  <si>
    <t>NP224</t>
  </si>
  <si>
    <t>Time delay for starting and shutting down producers, to prevent repeatedly turning on/off producers.</t>
  </si>
  <si>
    <t>1s</t>
  </si>
  <si>
    <t>NP225</t>
  </si>
  <si>
    <t>Switching strategy for power control of the cascade.</t>
  </si>
  <si>
    <t>0 : Late On Early Off
1: Early On Late Off
2: Late On Late Off</t>
  </si>
  <si>
    <t>NP227</t>
  </si>
  <si>
    <t>The preferred appliance for CH heat production</t>
  </si>
  <si>
    <t>NP228</t>
  </si>
  <si>
    <t>The non-preferred appliance for CH heat production</t>
  </si>
  <si>
    <t>NP282</t>
  </si>
  <si>
    <t>The power percentage for the late on strategy for activating the next appliance</t>
  </si>
  <si>
    <t>NP283</t>
  </si>
  <si>
    <t>The power percentage for the late off strategy for deactivating the last appliance</t>
  </si>
  <si>
    <t>NP284</t>
  </si>
  <si>
    <t>The power percentage for the early on strategy for activating the next appliance</t>
  </si>
  <si>
    <t>NP285</t>
  </si>
  <si>
    <t>The power percentage for the early off strategy for deactivating the last appliance</t>
  </si>
  <si>
    <t>NP008</t>
  </si>
  <si>
    <t>Minimum duration of post-operation of the generator pump</t>
  </si>
  <si>
    <t>NP013</t>
  </si>
  <si>
    <t>Force Primary Pump to Stop</t>
  </si>
  <si>
    <t>NP287</t>
  </si>
  <si>
    <t>The type of primary pump</t>
  </si>
  <si>
    <t>0 : None (no pump connected) 
1: On / Off (the pump relays switches on and off)
2 : PWM (relay is always active, pump is controlled over PWM) 
3 : 0-10V (relay is always active, pump is controlled over 0-10V)</t>
  </si>
  <si>
    <t>NP288</t>
  </si>
  <si>
    <t>The type of secondary pump</t>
  </si>
  <si>
    <t>7024-7099</t>
  </si>
  <si>
    <t>Reserved for future</t>
  </si>
  <si>
    <t>NM000</t>
  </si>
  <si>
    <t>Producer Active Number</t>
  </si>
  <si>
    <t>1 -127</t>
  </si>
  <si>
    <t>NM001</t>
  </si>
  <si>
    <t>Cascade flow temperature</t>
  </si>
  <si>
    <t>NM028</t>
  </si>
  <si>
    <t>Number of Producers recognised in the cascade</t>
  </si>
  <si>
    <t>NM022</t>
  </si>
  <si>
    <t xml:space="preserve">Number of stages available on the Casacde
</t>
  </si>
  <si>
    <t>NM023</t>
  </si>
  <si>
    <t xml:space="preserve">Number of stages required on the Casacde
</t>
  </si>
  <si>
    <t>Cascade power request by the consumer manager  - Power</t>
  </si>
  <si>
    <t xml:space="preserve">Cascade power request by the consumer manager - - temperature Setpoint
</t>
  </si>
  <si>
    <t xml:space="preserve">Cascade power request by the consumer manager - heatdemandType
</t>
  </si>
  <si>
    <t xml:space="preserve">Cascade System Power Setpoint Calculated - Power </t>
  </si>
  <si>
    <t xml:space="preserve">Cascade System Power Setpoint Calculated - temperature Setpoint
</t>
  </si>
  <si>
    <t xml:space="preserve">Cascade System Power Setpoint Calculated - heatdemandType
</t>
  </si>
  <si>
    <t>Actual power output  of Appliance 1</t>
  </si>
  <si>
    <t>Appliance  1 Flow Temperature</t>
  </si>
  <si>
    <t>Appliance  1 Status</t>
  </si>
  <si>
    <t>Bit 0: Pump Active
Bit 1: Power Engine Active (burner, compressor or backup)    
Bit 2: DHW in progress    
Bit 3: CH possible    
Bit 4: DHW possible    
Bit 5: Cooling possible    
Bit 6: Electrical possible    
Bit 7: Locking present</t>
  </si>
  <si>
    <t>Appliance 1 Special Request</t>
  </si>
  <si>
    <t>Bit 0: Frost Protect
Bit 1: Frost Protect Pump Only    
Bit 2: Chimney / commissioning mode    
Bit 3: Service Request</t>
  </si>
  <si>
    <t>Actual power output  of Appliance 3</t>
  </si>
  <si>
    <t>Appliance  3 Flow Temperature</t>
  </si>
  <si>
    <t>Appliance 3 Status</t>
  </si>
  <si>
    <t>Appliance 3 Special Request</t>
  </si>
  <si>
    <t>Actual power output  of Appliance 4</t>
  </si>
  <si>
    <t>Appliance 4 Flow Temperature</t>
  </si>
  <si>
    <t>Appliance 4 Status</t>
  </si>
  <si>
    <t>Appliance 4 Special Request</t>
  </si>
  <si>
    <t>Actual power output  of Appliance 5</t>
  </si>
  <si>
    <t>Appliance 5 Flow Temperature</t>
  </si>
  <si>
    <t>Appliance 5 Status</t>
  </si>
  <si>
    <t>Appliance 5 Special Request</t>
  </si>
  <si>
    <t>Actual power output  of Appliance 6</t>
  </si>
  <si>
    <t>Appliance 6 Flow Temperature</t>
  </si>
  <si>
    <t>Appliance 6 Status</t>
  </si>
  <si>
    <t>Appliance 6 Special Request</t>
  </si>
  <si>
    <t>Actual power output  of Appliance 7</t>
  </si>
  <si>
    <t>Appliance 7 Flow Temperature</t>
  </si>
  <si>
    <t>Appliance 7 Status</t>
  </si>
  <si>
    <t>Appliance 7 Special Request</t>
  </si>
  <si>
    <t>Actual power output  of Appliance 8</t>
  </si>
  <si>
    <t>Appliance 8 Flow Temperature</t>
  </si>
  <si>
    <t>Appliance 8 Status</t>
  </si>
  <si>
    <t>Appliance 8 Special Request</t>
  </si>
  <si>
    <t>Actual power output  of Appliance 9</t>
  </si>
  <si>
    <t>Appliance 9 Flow Temperature</t>
  </si>
  <si>
    <t>Appliance 9 Status</t>
  </si>
  <si>
    <t>Appliance 9 Special Request</t>
  </si>
  <si>
    <t>Actual power output  of Appliance 10</t>
  </si>
  <si>
    <t>Appliance 10 Flow Temperature</t>
  </si>
  <si>
    <t>Appliance 10 Status</t>
  </si>
  <si>
    <t>Appliance 10 Special Request</t>
  </si>
  <si>
    <t>NM112</t>
  </si>
  <si>
    <t>The requested power to fulfil the heat demand</t>
  </si>
  <si>
    <t>0,1kW</t>
  </si>
  <si>
    <t>NM026</t>
  </si>
  <si>
    <t>Outside Temperature connected</t>
  </si>
  <si>
    <t>0 : NO
1 : Yes</t>
  </si>
  <si>
    <t>NM027</t>
  </si>
  <si>
    <t>Outside Temperature Used by the Cascade</t>
  </si>
  <si>
    <t>NM170</t>
  </si>
  <si>
    <t>The requested power percentage</t>
  </si>
  <si>
    <t>NM002</t>
  </si>
  <si>
    <t>Current Time To Start next Stage</t>
  </si>
  <si>
    <t>0-60 Min</t>
  </si>
  <si>
    <t>NM166</t>
  </si>
  <si>
    <t>The activation of the primary pump relay</t>
  </si>
  <si>
    <t>0 : Inactive
1: active</t>
  </si>
  <si>
    <t>NM167</t>
  </si>
  <si>
    <t>The activation of the secondary pump relay</t>
  </si>
  <si>
    <t>NM163</t>
  </si>
  <si>
    <t>The current state of the cascade system</t>
  </si>
  <si>
    <t>0 : Standby
1 : Heat Demand
2 : Burner Start
3 : Burning CH
4 : Burning DHW
5 : Burner Stop 
6: Pump Post Run
7: Cooling Active 
8 : Controlled Stop
9 : Blocking Mode
10 : Locking Mode
11: CS Mode L CH
12 : CS Mode H CH
13 : CS Mode H DHW
14 : CS Mode Custom
15 : Manual Hd CH On
16 : Boiler Frost Prot
17 : DE Air
18 : CU Cooling
19 : Reset In Progress
200 : Auto Filling
21 : Halted
22 : Forced Calibration
23 : Factory Test
24 : Hydraulic Balancing Mode 
200 : Device Mode
254 : Unknown</t>
  </si>
  <si>
    <t>NC000</t>
  </si>
  <si>
    <t>The amount of hours spend on producing heat for CH</t>
  </si>
  <si>
    <t>NC001</t>
  </si>
  <si>
    <t>The amount of hours spend on producing heat for DHW</t>
  </si>
  <si>
    <t>NM165</t>
  </si>
  <si>
    <t>The measured return temperature on the LLH</t>
  </si>
  <si>
    <t>Cascade, smart pump status - producer circuit of low loss header</t>
  </si>
  <si>
    <t>0-14</t>
  </si>
  <si>
    <t>The pump speed output after transfer function for pwm or 0-10V output signal for primary pump (producer circuit)</t>
  </si>
  <si>
    <t>The pump speed output after transfer function for pwm or 0-10V output signal for secondary pump (consumer circuit)</t>
  </si>
  <si>
    <t>EM012</t>
  </si>
  <si>
    <t>The measured cascade flow temperature on the secondary side of the LLH</t>
  </si>
  <si>
    <t>EM013</t>
  </si>
  <si>
    <t>The measured cascade return temperature on the secondary side of the LLH</t>
  </si>
  <si>
    <t>7170-7199</t>
  </si>
  <si>
    <t>NP231</t>
  </si>
  <si>
    <t>The order in which the producers are going to be activated</t>
  </si>
  <si>
    <t>Logical number that represents the physical location of a device within a cascade</t>
  </si>
  <si>
    <r>
      <t xml:space="preserve">[ Type  = 0
Serial Number = 0
</t>
    </r>
    <r>
      <rPr>
        <b/>
        <sz val="9"/>
        <color rgb="FF000000"/>
        <rFont val="Calibri"/>
        <family val="2"/>
        <scheme val="minor"/>
      </rPr>
      <t>Logical Number = 0</t>
    </r>
    <r>
      <rPr>
        <sz val="9"/>
        <color rgb="FF000000"/>
        <rFont val="Calibri"/>
        <family val="2"/>
        <scheme val="minor"/>
      </rPr>
      <t xml:space="preserve">
Element Number = 0
Lorder = 0 
Logical Name
State = Not Connected ]</t>
    </r>
  </si>
  <si>
    <t>The availability of the device for the cascade</t>
  </si>
  <si>
    <r>
      <t xml:space="preserve">[ Type  = 0
Serial Number = 0
Logical Number = 0
Element Number = 0
Lorder = 0 
Logical Name
</t>
    </r>
    <r>
      <rPr>
        <b/>
        <sz val="9"/>
        <color rgb="FF000000"/>
        <rFont val="Calibri"/>
        <family val="2"/>
        <scheme val="minor"/>
      </rPr>
      <t>State = Not Connected</t>
    </r>
    <r>
      <rPr>
        <sz val="9"/>
        <color rgb="FF000000"/>
        <rFont val="Calibri"/>
        <family val="2"/>
        <scheme val="minor"/>
      </rPr>
      <t xml:space="preserve"> ]</t>
    </r>
  </si>
  <si>
    <t>EP001</t>
  </si>
  <si>
    <t>The minimum power of an appliance in the cascade system</t>
  </si>
  <si>
    <t>[ Power Rating = 20,0
State = None ]</t>
  </si>
  <si>
    <t>EP086</t>
  </si>
  <si>
    <t>The maximum power of an appliance in the cascade system</t>
  </si>
  <si>
    <t>[ Power Rating = 100,0
State = None ]</t>
  </si>
  <si>
    <t>NM113</t>
  </si>
  <si>
    <t>List of appliances needed to fulfil the heat demand</t>
  </si>
  <si>
    <t>NM171</t>
  </si>
  <si>
    <t>The temporary stored permutation order</t>
  </si>
  <si>
    <t>EM058</t>
  </si>
  <si>
    <t>The status of all producers found on the S-Bus</t>
  </si>
  <si>
    <t>EM208</t>
  </si>
  <si>
    <t>The generic error codes of all producers found on the S-Bus</t>
  </si>
  <si>
    <t>[Error Code = 0,0 
Error Category = 1,0]</t>
  </si>
  <si>
    <t>EM068</t>
  </si>
  <si>
    <t>Matrix describing the error priority and the error custom code per brand</t>
  </si>
  <si>
    <t>EM078</t>
  </si>
  <si>
    <t>Flow temperature of appliance. The temperature of the water leaving the appliance.</t>
  </si>
  <si>
    <t>EM088</t>
  </si>
  <si>
    <t>The return temperature of an appliance in the cascade system</t>
  </si>
  <si>
    <t>EM098</t>
  </si>
  <si>
    <t>The heat exchanger temperature of an appliance in the cascade system</t>
  </si>
  <si>
    <t>EM108</t>
  </si>
  <si>
    <t>The flu gas temperature of an appliance in the cascade system</t>
  </si>
  <si>
    <t>EM118</t>
  </si>
  <si>
    <t>Current or upcoming service notification</t>
  </si>
  <si>
    <t>0 : None
1 : A
1 : B
2 : C 
 4 : Custom 
5 : D</t>
  </si>
  <si>
    <t>EM128</t>
  </si>
  <si>
    <t>The water pressure of an appliance in the cascade system</t>
  </si>
  <si>
    <t>EM148</t>
  </si>
  <si>
    <t>The 2nd return temperature of an appliance in the cascade system</t>
  </si>
  <si>
    <t>EM158</t>
  </si>
  <si>
    <t>The current pump speed</t>
  </si>
  <si>
    <t>EM168</t>
  </si>
  <si>
    <t>Actual relative power of the appliance</t>
  </si>
  <si>
    <t>EM178</t>
  </si>
  <si>
    <t>Total number of burner hours.  For heating and domestic hot water</t>
  </si>
  <si>
    <t>EM188</t>
  </si>
  <si>
    <t>Number of burner hours for Domestic Hot Water</t>
  </si>
  <si>
    <t>EM198</t>
  </si>
  <si>
    <t>Producer order listed with node id's</t>
  </si>
  <si>
    <t>EM218</t>
  </si>
  <si>
    <t>The type of appliance in the cascade system</t>
  </si>
  <si>
    <t>0-65535</t>
  </si>
  <si>
    <t>EM228</t>
  </si>
  <si>
    <t>The serial number of an appliance in the cascade system</t>
  </si>
  <si>
    <t>0-4294967295</t>
  </si>
  <si>
    <t>SC129</t>
  </si>
  <si>
    <t>Signal for storing the total solar thermal energy collected for DHW and CH.</t>
  </si>
  <si>
    <t>0,001 kWh</t>
  </si>
  <si>
    <t>SM020</t>
  </si>
  <si>
    <t>Signal for storing the actual status of the advanced solar range boiler</t>
  </si>
  <si>
    <t>0 : OFF
1 : Standby
2: FrostProtection
3: PumpProtection 
4: PanelProtection
5: DhwLoading
6: LoadingCH
7: Recooling
8: SolarTube</t>
  </si>
  <si>
    <t>SM036</t>
  </si>
  <si>
    <t>Signal for storing the instantaneous mean rotation speed of the solar pumps.</t>
  </si>
  <si>
    <t>SM033</t>
  </si>
  <si>
    <t>Signal for storing the actual measured instantaneous value of the DHW tank low temperature sensor.</t>
  </si>
  <si>
    <t>SM034</t>
  </si>
  <si>
    <t>Signal for storing the actual measured instantaneous value of the CH tank low temperature sensor.</t>
  </si>
  <si>
    <t>SM023</t>
  </si>
  <si>
    <t>Signal for storing the instantaneous temperature of the heat conduct. medium at the solar collector. - collector 1</t>
  </si>
  <si>
    <t>SM024</t>
  </si>
  <si>
    <t>Signal for storing the instantaneous temperature of the heat conduct. medium at the solar collector - collector 2</t>
  </si>
  <si>
    <t>SM000</t>
  </si>
  <si>
    <t>Signal for storing the instantaneous status of each three way valve (ON or OFF). - valve 1</t>
  </si>
  <si>
    <t>SM001</t>
  </si>
  <si>
    <t>Signal for storing the instantaneous status of each three way valve (ON or OFF). - valve 2</t>
  </si>
  <si>
    <t>Reduction of the setpoint of the DHW primary based on the heat delivery of a solar collector (solar first).</t>
  </si>
  <si>
    <t>Reduction of the setpoint of a buffered CH zone based on the heat delivery of a solar collector (solar first).</t>
  </si>
  <si>
    <t xml:space="preserve">8123 - 8140 </t>
  </si>
  <si>
    <t>reserved for futur</t>
  </si>
  <si>
    <t>SP287</t>
  </si>
  <si>
    <t>Configuration of the solar hydraulics installation type.</t>
  </si>
  <si>
    <t>0 : NoSolar
1: LayeredTank
2: Standard
3: TwoTanks3WV
4 : EastWestPanels
5: TwoTanksPump
6: TwoTanksHeatExchange</t>
  </si>
  <si>
    <t>SP010</t>
  </si>
  <si>
    <t>Parameter to configure the mode of the advanced solar DHW and/or CH function group.</t>
  </si>
  <si>
    <t>0: OFF
1: DHW
2: CH
3 : DhwCh</t>
  </si>
  <si>
    <t>SP044</t>
  </si>
  <si>
    <t>Parameter for nominal DHW tank T° setpoint.</t>
  </si>
  <si>
    <t>SP047</t>
  </si>
  <si>
    <t>Parameter for configuring the nominal setpoint to charge the CH tank with solar energy, possible values are within the range 8°C ~ 60°C</t>
  </si>
  <si>
    <t>Sp034</t>
  </si>
  <si>
    <t>Parameter for configuring the maximum allowed temperature temperature in the solar panel.- collector 1</t>
  </si>
  <si>
    <t>Sp035</t>
  </si>
  <si>
    <t>Parameter for configuring the maximum allowed temperature temperature in the solar panel - collector 2</t>
  </si>
  <si>
    <t>SP045</t>
  </si>
  <si>
    <t>Parameter for maximal DHW tank T° setpoint.</t>
  </si>
  <si>
    <t>SP048</t>
  </si>
  <si>
    <t>Parameter for maximal CH tank T° setpoint.</t>
  </si>
  <si>
    <t>SP182</t>
  </si>
  <si>
    <t>Parameter for setting the minimal temperature rise corresponding to one step increase in pump speed.</t>
  </si>
  <si>
    <t>SP183</t>
  </si>
  <si>
    <t>Find other DHW parameters in Boiler sheet at registers 477 - 478 - 479</t>
  </si>
  <si>
    <t>AP055</t>
  </si>
  <si>
    <t>PV function Active</t>
  </si>
  <si>
    <t>How PV input must be used.
0 : no pv - pv input not used
1 : with HP only - pv input can enable boost PV mode, working with HP only
2 : with HP &amp; backup - pv input can enable boost PV mode, working with HP and backup
3 : with backup only - pv input can enable boost PV mode, working with backup only</t>
  </si>
  <si>
    <t>AP057</t>
  </si>
  <si>
    <t>PV function Contact Logic</t>
  </si>
  <si>
    <t>Logic contact to take into account for PV input:
0 : normalyOpen - PV input is considered active when PV input contact is open
1 : normalyClose - PV input is considered active when PV input contact is closed</t>
  </si>
  <si>
    <t>DP512</t>
  </si>
  <si>
    <t>Zone Dhw primary Boost PV Setpoint</t>
  </si>
  <si>
    <t>0.01 °C</t>
  </si>
  <si>
    <t>AP024</t>
  </si>
  <si>
    <t>Peak/OffPeak Active</t>
  </si>
  <si>
    <t>How peak off / peak on input must be used.
0 : no - peak input not used
1 : yes - comfort / reduced mode is computed on peak input state instead of timeprogram</t>
  </si>
  <si>
    <t>AP047</t>
  </si>
  <si>
    <t>Peak input contact logic configuration</t>
  </si>
  <si>
    <t>Logic contact to take into account for peak input:
0 : normalyOpen - peak input is considered active when peak input contact is open
1 : normalyClose - peak input is considered active when peak input contact is closed</t>
  </si>
  <si>
    <t>HP149</t>
  </si>
  <si>
    <t>Max time BackUp off when peak mode enabled</t>
  </si>
  <si>
    <t>0.1 Hour</t>
  </si>
  <si>
    <t>AM034</t>
  </si>
  <si>
    <t>S_PhotoVoltaicInputState</t>
  </si>
  <si>
    <t>0 : Open
1 : Closed
2: Off</t>
  </si>
  <si>
    <t>AM032</t>
  </si>
  <si>
    <t>S_PeakOffPeakInputState</t>
  </si>
  <si>
    <t>HP059</t>
  </si>
  <si>
    <t>Digital input 1 configuration</t>
  </si>
  <si>
    <t>Digital input configuration
0 - off
1 - smartGrid
2 - release compressor
3 - release backup</t>
  </si>
  <si>
    <t>HP076</t>
  </si>
  <si>
    <t>Digital input 2 configuration</t>
  </si>
  <si>
    <t>HP077</t>
  </si>
  <si>
    <t>digital input 1 contact logic configuration</t>
  </si>
  <si>
    <t>Logic contact to take into account for digital input:
0 : normalyOpen - digital input is considered active when digital input contact is open
1 : normalyClose - digital input is considered active when digital input contact is closed</t>
  </si>
  <si>
    <t>HP078</t>
  </si>
  <si>
    <t>digital input 2 contact logic configuration</t>
  </si>
  <si>
    <t>NTotal energy consumed for production of central heat</t>
  </si>
  <si>
    <t>0.001</t>
  </si>
  <si>
    <t>cost of fossil energy (oil or gas) - piece per litre or per m3 accurate</t>
  </si>
  <si>
    <t>21003 - 21019</t>
  </si>
  <si>
    <t>The heat demand mode which is used in case of a communication error</t>
  </si>
  <si>
    <t>0 : MaintainLastHeatDemand 
1 : UseFallbackHeatDemand</t>
  </si>
  <si>
    <t>Fallback strategy to apply</t>
  </si>
  <si>
    <t>0 : No heating or cooling
1 : Fallback Heat Demand
2 : Temporary Fallback Heat Demand</t>
  </si>
  <si>
    <t>Number Of Minutes To Maintain Heat Demand in fallback mode</t>
  </si>
  <si>
    <t>0 - 255 min</t>
  </si>
  <si>
    <t xml:space="preserve">fallback power setpoint </t>
  </si>
  <si>
    <t>fallback temperature setpoint</t>
  </si>
  <si>
    <t>°C</t>
  </si>
  <si>
    <t xml:space="preserve">fallback heat demand type </t>
  </si>
  <si>
    <t>0 : Off
1 : Temperature Control 
2 : Power Control</t>
  </si>
  <si>
    <t>EP014</t>
  </si>
  <si>
    <t>0 - 10V input selection  (temperature or power setpoint)</t>
  </si>
  <si>
    <t>EM010</t>
  </si>
  <si>
    <t>Measure of the Voltage on the 0-10V Input</t>
  </si>
  <si>
    <t>0,1V</t>
  </si>
  <si>
    <t>AP110</t>
  </si>
  <si>
    <t>Parameter to activate the 2nd return sensor</t>
  </si>
  <si>
    <t xml:space="preserve">0 : Inactive
1 : Active </t>
  </si>
  <si>
    <t>Second return temperature</t>
  </si>
  <si>
    <t>GP017</t>
  </si>
  <si>
    <t>Absolute max boiler power in KW. This is the power the device can produce when burner parameters are set at maximum.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</si>
</sst>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9"/>
      <color rgb="FF000000"/>
      <name val="Calibri"/>
      <family val="2"/>
      <scheme val="minor"/>
    </font>
    <font>
      <sz val="9"/>
      <color rgb="FF000000"/>
      <name val="Calibri"/>
      <family val="2"/>
      <scheme val="minor"/>
    </font>
    <font>
      <b/>
      <sz val="10"/>
      <color rgb="FF000000"/>
      <name val="Calibri"/>
      <family val="2"/>
      <scheme val="minor"/>
    </font>
    <font>
      <sz val="8"/>
      <name val="Calibri"/>
      <family val="2"/>
      <scheme val="minor"/>
    </font>
    <font>
      <b/>
      <sz val="11"/>
      <color theme="1"/>
      <name val="Calibri"/>
      <family val="2"/>
      <scheme val="minor"/>
    </font>
    <font>
      <b/>
      <sz val="9"/>
      <name val="Calibri"/>
      <family val="2"/>
      <scheme val="minor"/>
    </font>
    <font>
      <sz val="9"/>
      <name val="Calibri"/>
      <family val="2"/>
      <scheme val="minor"/>
    </font>
    <font>
      <sz val="11"/>
      <name val="Calibri"/>
      <family val="2"/>
      <scheme val="minor"/>
    </font>
    <font>
      <b/>
      <sz val="9"/>
      <color theme="1"/>
      <name val="Calibri"/>
      <family val="2"/>
      <scheme val="minor"/>
    </font>
    <font>
      <sz val="9"/>
      <color theme="1"/>
      <name val="Calibri"/>
      <family val="2"/>
      <scheme val="minor"/>
    </font>
    <font>
      <b/>
      <sz val="11"/>
      <name val="Calibri"/>
      <family val="2"/>
      <scheme val="minor"/>
    </font>
    <font>
      <sz val="11"/>
      <color rgb="FFD4D4D4"/>
      <name val="Consolas"/>
      <family val="3"/>
    </font>
    <font>
      <sz val="11"/>
      <color rgb="FF172B4D"/>
      <name val="Segoe UI"/>
      <family val="2"/>
    </font>
    <font>
      <b/>
      <sz val="14"/>
      <color theme="1"/>
      <name val="Calibri"/>
      <family val="2"/>
      <scheme val="minor"/>
    </font>
    <font>
      <sz val="14"/>
      <color theme="1"/>
      <name val="Calibri"/>
      <family val="2"/>
      <scheme val="minor"/>
    </font>
    <font>
      <b/>
      <sz val="16"/>
      <color theme="1"/>
      <name val="Calibri"/>
      <family val="2"/>
      <scheme val="minor"/>
    </font>
    <font>
      <b/>
      <sz val="18"/>
      <color theme="1"/>
      <name val="Calibri"/>
      <family val="2"/>
      <scheme val="minor"/>
    </font>
    <font>
      <b/>
      <sz val="12"/>
      <color theme="1"/>
      <name val="Calibri"/>
      <family val="2"/>
      <scheme val="minor"/>
    </font>
  </fonts>
  <fills count="9">
    <fill>
      <patternFill patternType="none"/>
    </fill>
    <fill>
      <patternFill patternType="gray125"/>
    </fill>
    <fill>
      <patternFill patternType="solid">
        <fgColor rgb="FFE36C0A"/>
        <bgColor indexed="64"/>
      </patternFill>
    </fill>
    <fill>
      <patternFill patternType="solid">
        <fgColor rgb="FFE26B0A"/>
        <bgColor indexed="64"/>
      </patternFill>
    </fill>
    <fill>
      <patternFill patternType="solid">
        <fgColor rgb="FFFCD5B4"/>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BCFAB"/>
        <bgColor indexed="64"/>
      </patternFill>
    </fill>
  </fills>
  <borders count="3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Dashed">
        <color indexed="64"/>
      </top>
      <bottom style="medium">
        <color indexed="64"/>
      </bottom>
      <diagonal/>
    </border>
    <border>
      <left/>
      <right style="medium">
        <color indexed="64"/>
      </right>
      <top style="mediumDashed">
        <color indexed="64"/>
      </top>
      <bottom style="medium">
        <color indexed="64"/>
      </bottom>
      <diagonal/>
    </border>
    <border>
      <left style="medium">
        <color indexed="64"/>
      </left>
      <right style="medium">
        <color indexed="64"/>
      </right>
      <top style="mediumDashed">
        <color indexed="64"/>
      </top>
      <bottom/>
      <diagonal/>
    </border>
    <border>
      <left/>
      <right style="medium">
        <color indexed="64"/>
      </right>
      <top/>
      <bottom style="mediumDashed">
        <color indexed="64"/>
      </bottom>
      <diagonal/>
    </border>
    <border>
      <left/>
      <right/>
      <top style="medium">
        <color indexed="64"/>
      </top>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style="mediumDashed">
        <color indexed="64"/>
      </bottom>
      <diagonal/>
    </border>
    <border>
      <left style="medium">
        <color indexed="64"/>
      </left>
      <right style="medium">
        <color indexed="64"/>
      </right>
      <top style="medium">
        <color indexed="64"/>
      </top>
      <bottom style="mediumDashed">
        <color indexed="64"/>
      </bottom>
      <diagonal/>
    </border>
    <border>
      <left style="mediumDashed">
        <color indexed="64"/>
      </left>
      <right style="medium">
        <color indexed="64"/>
      </right>
      <top style="mediumDashed">
        <color indexed="64"/>
      </top>
      <bottom style="medium">
        <color indexed="64"/>
      </bottom>
      <diagonal/>
    </border>
    <border>
      <left/>
      <right style="mediumDashed">
        <color indexed="64"/>
      </right>
      <top style="mediumDashed">
        <color indexed="64"/>
      </top>
      <bottom style="medium">
        <color indexed="64"/>
      </bottom>
      <diagonal/>
    </border>
    <border>
      <left style="mediumDashed">
        <color indexed="64"/>
      </left>
      <right style="medium">
        <color indexed="64"/>
      </right>
      <top style="medium">
        <color indexed="64"/>
      </top>
      <bottom style="medium">
        <color indexed="64"/>
      </bottom>
      <diagonal/>
    </border>
    <border>
      <left/>
      <right style="mediumDashed">
        <color indexed="64"/>
      </right>
      <top/>
      <bottom style="medium">
        <color indexed="64"/>
      </bottom>
      <diagonal/>
    </border>
    <border>
      <left style="mediumDashed">
        <color indexed="64"/>
      </left>
      <right style="medium">
        <color indexed="64"/>
      </right>
      <top style="medium">
        <color indexed="64"/>
      </top>
      <bottom style="mediumDashed">
        <color indexed="64"/>
      </bottom>
      <diagonal/>
    </border>
    <border>
      <left style="medium">
        <color indexed="64"/>
      </left>
      <right style="mediumDashed">
        <color indexed="64"/>
      </right>
      <top style="medium">
        <color indexed="64"/>
      </top>
      <bottom style="mediumDashed">
        <color indexed="64"/>
      </bottom>
      <diagonal/>
    </border>
    <border>
      <left style="medium">
        <color indexed="64"/>
      </left>
      <right style="medium">
        <color indexed="64"/>
      </right>
      <top/>
      <bottom style="mediumDashed">
        <color indexed="64"/>
      </bottom>
      <diagonal/>
    </border>
    <border>
      <left/>
      <right style="medium">
        <color indexed="64"/>
      </right>
      <top style="thin">
        <color indexed="64"/>
      </top>
      <bottom style="medium">
        <color indexed="64"/>
      </bottom>
      <diagonal/>
    </border>
    <border>
      <left style="mediumDashed">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Dashed">
        <color indexed="64"/>
      </top>
      <bottom/>
      <diagonal/>
    </border>
  </borders>
  <cellStyleXfs count="1">
    <xf numFmtId="0" fontId="0" fillId="0" borderId="0"/>
  </cellStyleXfs>
  <cellXfs count="294">
    <xf numFmtId="0" fontId="0" fillId="0" borderId="0" xfId="0"/>
    <xf numFmtId="0" fontId="1" fillId="2" borderId="1" xfId="0" applyFont="1" applyFill="1" applyBorder="1" applyAlignment="1">
      <alignment horizontal="center" vertical="center"/>
    </xf>
    <xf numFmtId="0" fontId="1" fillId="4" borderId="5" xfId="0" applyFont="1" applyFill="1" applyBorder="1" applyAlignment="1">
      <alignment horizontal="right" vertical="center"/>
    </xf>
    <xf numFmtId="0" fontId="2" fillId="4" borderId="4" xfId="0" applyFont="1" applyFill="1" applyBorder="1" applyAlignment="1">
      <alignment horizontal="center" vertical="center"/>
    </xf>
    <xf numFmtId="0" fontId="2" fillId="4" borderId="4" xfId="0" applyFont="1" applyFill="1" applyBorder="1" applyAlignment="1">
      <alignment vertical="center"/>
    </xf>
    <xf numFmtId="0" fontId="2" fillId="4" borderId="4" xfId="0" applyFont="1" applyFill="1" applyBorder="1" applyAlignment="1">
      <alignment vertical="center" wrapText="1"/>
    </xf>
    <xf numFmtId="0" fontId="0" fillId="0" borderId="0" xfId="0" applyAlignment="1">
      <alignment horizontal="center" vertical="center"/>
    </xf>
    <xf numFmtId="0" fontId="2" fillId="4" borderId="3" xfId="0" applyFont="1" applyFill="1" applyBorder="1" applyAlignment="1">
      <alignment vertical="center" wrapText="1"/>
    </xf>
    <xf numFmtId="0" fontId="2" fillId="4" borderId="4" xfId="0" applyFont="1" applyFill="1" applyBorder="1" applyAlignment="1">
      <alignment horizontal="center" vertical="center" wrapText="1"/>
    </xf>
    <xf numFmtId="0" fontId="2" fillId="4" borderId="3" xfId="0" applyFont="1" applyFill="1" applyBorder="1" applyAlignment="1">
      <alignment horizontal="center" vertical="center"/>
    </xf>
    <xf numFmtId="0" fontId="2" fillId="4" borderId="4" xfId="0" applyFont="1" applyFill="1" applyBorder="1" applyAlignment="1">
      <alignment horizontal="left" vertical="center"/>
    </xf>
    <xf numFmtId="0" fontId="0" fillId="0" borderId="0" xfId="0" applyAlignment="1">
      <alignment horizontal="left"/>
    </xf>
    <xf numFmtId="0" fontId="2" fillId="4" borderId="4" xfId="0" applyFont="1" applyFill="1" applyBorder="1" applyAlignment="1">
      <alignment horizontal="left" vertical="center" wrapText="1"/>
    </xf>
    <xf numFmtId="0" fontId="2" fillId="4" borderId="5" xfId="0" applyFont="1" applyFill="1" applyBorder="1" applyAlignment="1">
      <alignment vertical="center"/>
    </xf>
    <xf numFmtId="0" fontId="1" fillId="4" borderId="6" xfId="0" applyFont="1" applyFill="1" applyBorder="1" applyAlignment="1">
      <alignment horizontal="right" vertical="center"/>
    </xf>
    <xf numFmtId="0" fontId="1" fillId="5" borderId="5" xfId="0" applyFont="1" applyFill="1" applyBorder="1" applyAlignment="1">
      <alignment horizontal="right" vertical="center"/>
    </xf>
    <xf numFmtId="0" fontId="2" fillId="5" borderId="4" xfId="0" applyFont="1" applyFill="1" applyBorder="1" applyAlignment="1">
      <alignment horizontal="left" vertical="center" wrapText="1"/>
    </xf>
    <xf numFmtId="0" fontId="2" fillId="5" borderId="4" xfId="0" applyFont="1" applyFill="1" applyBorder="1" applyAlignment="1">
      <alignment horizontal="center" vertical="center"/>
    </xf>
    <xf numFmtId="49" fontId="2" fillId="4" borderId="4" xfId="0" applyNumberFormat="1" applyFont="1" applyFill="1" applyBorder="1" applyAlignment="1">
      <alignment horizontal="center" vertical="center"/>
    </xf>
    <xf numFmtId="49" fontId="0" fillId="0" borderId="0" xfId="0" applyNumberFormat="1"/>
    <xf numFmtId="49" fontId="2" fillId="4" borderId="10" xfId="0" applyNumberFormat="1" applyFont="1" applyFill="1" applyBorder="1" applyAlignment="1">
      <alignment horizontal="center" vertical="center"/>
    </xf>
    <xf numFmtId="49" fontId="0" fillId="0" borderId="0" xfId="0" applyNumberFormat="1" applyAlignment="1">
      <alignment horizontal="center" vertical="center"/>
    </xf>
    <xf numFmtId="49" fontId="2" fillId="4" borderId="1" xfId="0" applyNumberFormat="1" applyFont="1" applyFill="1" applyBorder="1" applyAlignment="1">
      <alignment horizontal="center" vertical="center"/>
    </xf>
    <xf numFmtId="49" fontId="2" fillId="5" borderId="4" xfId="0" applyNumberFormat="1" applyFont="1" applyFill="1" applyBorder="1" applyAlignment="1">
      <alignment horizontal="center" vertical="center"/>
    </xf>
    <xf numFmtId="49" fontId="2" fillId="4" borderId="3" xfId="0" applyNumberFormat="1" applyFont="1" applyFill="1" applyBorder="1" applyAlignment="1">
      <alignment horizontal="center" vertical="center"/>
    </xf>
    <xf numFmtId="49" fontId="2" fillId="4" borderId="5" xfId="0" applyNumberFormat="1" applyFont="1" applyFill="1" applyBorder="1" applyAlignment="1">
      <alignment horizontal="center" vertical="center"/>
    </xf>
    <xf numFmtId="0" fontId="2" fillId="4" borderId="13" xfId="0" applyFont="1" applyFill="1" applyBorder="1" applyAlignment="1">
      <alignment vertical="center" wrapText="1"/>
    </xf>
    <xf numFmtId="49" fontId="2" fillId="4" borderId="12" xfId="0" applyNumberFormat="1" applyFont="1" applyFill="1" applyBorder="1" applyAlignment="1">
      <alignment horizontal="center" vertical="center"/>
    </xf>
    <xf numFmtId="0" fontId="2" fillId="4" borderId="13" xfId="0" applyFont="1" applyFill="1" applyBorder="1" applyAlignment="1">
      <alignment horizontal="center" vertical="center"/>
    </xf>
    <xf numFmtId="49" fontId="2" fillId="4" borderId="13" xfId="0" applyNumberFormat="1" applyFont="1" applyFill="1" applyBorder="1" applyAlignment="1">
      <alignment horizontal="center" vertical="center"/>
    </xf>
    <xf numFmtId="0" fontId="2" fillId="4" borderId="15" xfId="0" applyFont="1" applyFill="1" applyBorder="1" applyAlignment="1">
      <alignment vertical="center" wrapText="1"/>
    </xf>
    <xf numFmtId="49" fontId="2" fillId="4" borderId="15" xfId="0" applyNumberFormat="1" applyFont="1" applyFill="1" applyBorder="1" applyAlignment="1">
      <alignment horizontal="center" vertical="center"/>
    </xf>
    <xf numFmtId="0" fontId="2" fillId="4" borderId="5" xfId="0" applyFont="1" applyFill="1" applyBorder="1" applyAlignment="1">
      <alignment horizontal="center" vertical="center"/>
    </xf>
    <xf numFmtId="49" fontId="1" fillId="4" borderId="4" xfId="0" applyNumberFormat="1" applyFont="1" applyFill="1" applyBorder="1" applyAlignment="1">
      <alignment horizontal="center" vertical="center"/>
    </xf>
    <xf numFmtId="49" fontId="1" fillId="5" borderId="4" xfId="0" applyNumberFormat="1" applyFont="1" applyFill="1" applyBorder="1" applyAlignment="1">
      <alignment horizontal="center" vertical="center"/>
    </xf>
    <xf numFmtId="0" fontId="3" fillId="7" borderId="1" xfId="0" applyFont="1" applyFill="1" applyBorder="1" applyAlignment="1">
      <alignment horizontal="center" vertical="center" wrapText="1"/>
    </xf>
    <xf numFmtId="0" fontId="3" fillId="7" borderId="6"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6" xfId="0" applyFont="1" applyFill="1" applyBorder="1" applyAlignment="1">
      <alignment horizontal="center" vertical="center" wrapText="1"/>
    </xf>
    <xf numFmtId="9" fontId="2" fillId="4" borderId="4" xfId="0" applyNumberFormat="1" applyFont="1" applyFill="1" applyBorder="1" applyAlignment="1">
      <alignment horizontal="center" vertical="center"/>
    </xf>
    <xf numFmtId="0" fontId="2" fillId="4" borderId="10"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1" fillId="4" borderId="6" xfId="0" applyFont="1" applyFill="1" applyBorder="1" applyAlignment="1">
      <alignment horizontal="center" vertical="center"/>
    </xf>
    <xf numFmtId="0" fontId="1" fillId="4" borderId="5" xfId="0" applyFont="1" applyFill="1" applyBorder="1" applyAlignment="1">
      <alignment horizontal="center" vertical="center"/>
    </xf>
    <xf numFmtId="0" fontId="0" fillId="0" borderId="0" xfId="0" applyAlignment="1">
      <alignment horizontal="left" vertical="top"/>
    </xf>
    <xf numFmtId="0" fontId="1" fillId="4" borderId="1" xfId="0" applyFont="1" applyFill="1" applyBorder="1" applyAlignment="1">
      <alignment horizontal="center" vertical="center"/>
    </xf>
    <xf numFmtId="0" fontId="2" fillId="4" borderId="5" xfId="0" applyFont="1" applyFill="1" applyBorder="1" applyAlignment="1">
      <alignment horizontal="left" vertical="center" wrapText="1"/>
    </xf>
    <xf numFmtId="0" fontId="2" fillId="4" borderId="4" xfId="0" applyFont="1" applyFill="1" applyBorder="1" applyAlignment="1">
      <alignment horizontal="left" vertical="top"/>
    </xf>
    <xf numFmtId="0" fontId="2" fillId="4" borderId="10" xfId="0" applyFont="1" applyFill="1" applyBorder="1" applyAlignment="1">
      <alignment horizontal="left" vertical="top" wrapText="1"/>
    </xf>
    <xf numFmtId="0" fontId="2" fillId="4" borderId="4" xfId="0" applyFont="1" applyFill="1" applyBorder="1" applyAlignment="1">
      <alignment horizontal="left" vertical="top" wrapText="1"/>
    </xf>
    <xf numFmtId="0" fontId="2" fillId="4" borderId="3" xfId="0" applyFont="1" applyFill="1" applyBorder="1" applyAlignment="1">
      <alignment horizontal="left" vertical="top" wrapText="1"/>
    </xf>
    <xf numFmtId="0" fontId="2" fillId="4" borderId="5" xfId="0" applyFont="1" applyFill="1" applyBorder="1" applyAlignment="1">
      <alignment horizontal="left" vertical="top" wrapText="1"/>
    </xf>
    <xf numFmtId="0" fontId="2" fillId="6" borderId="9" xfId="0" applyFont="1" applyFill="1" applyBorder="1" applyAlignment="1">
      <alignment vertical="center"/>
    </xf>
    <xf numFmtId="0" fontId="2" fillId="5" borderId="4" xfId="0" applyFont="1" applyFill="1" applyBorder="1" applyAlignment="1">
      <alignment horizontal="center" vertical="center" wrapText="1"/>
    </xf>
    <xf numFmtId="0" fontId="2" fillId="6" borderId="9" xfId="0" applyFont="1" applyFill="1" applyBorder="1" applyAlignment="1">
      <alignment horizontal="center" vertical="center"/>
    </xf>
    <xf numFmtId="0" fontId="2" fillId="4" borderId="1" xfId="0" applyFont="1" applyFill="1" applyBorder="1" applyAlignment="1">
      <alignment horizontal="left" vertical="center" wrapText="1"/>
    </xf>
    <xf numFmtId="49" fontId="1" fillId="4" borderId="1" xfId="0" applyNumberFormat="1" applyFont="1" applyFill="1" applyBorder="1" applyAlignment="1">
      <alignment horizontal="center" vertical="center"/>
    </xf>
    <xf numFmtId="49" fontId="1" fillId="4" borderId="5" xfId="0" applyNumberFormat="1" applyFont="1" applyFill="1" applyBorder="1" applyAlignment="1">
      <alignment horizontal="center" vertical="center"/>
    </xf>
    <xf numFmtId="0" fontId="0" fillId="0" borderId="0" xfId="0" applyAlignment="1">
      <alignment horizontal="center"/>
    </xf>
    <xf numFmtId="0" fontId="1" fillId="4" borderId="13" xfId="0" applyFont="1" applyFill="1" applyBorder="1" applyAlignment="1">
      <alignment horizontal="center" vertical="center"/>
    </xf>
    <xf numFmtId="0" fontId="1" fillId="5" borderId="5" xfId="0" applyFont="1" applyFill="1" applyBorder="1" applyAlignment="1">
      <alignment horizontal="center" vertical="center"/>
    </xf>
    <xf numFmtId="0" fontId="2" fillId="4" borderId="13" xfId="0" applyFont="1" applyFill="1" applyBorder="1" applyAlignment="1">
      <alignment horizontal="left" vertical="center"/>
    </xf>
    <xf numFmtId="0" fontId="2" fillId="4" borderId="3" xfId="0" applyFont="1" applyFill="1" applyBorder="1" applyAlignment="1">
      <alignment horizontal="left" vertical="center"/>
    </xf>
    <xf numFmtId="0" fontId="2" fillId="4" borderId="20" xfId="0" applyFont="1" applyFill="1" applyBorder="1" applyAlignment="1">
      <alignment horizontal="center" vertical="center"/>
    </xf>
    <xf numFmtId="0" fontId="2" fillId="4" borderId="22" xfId="0" applyFont="1" applyFill="1" applyBorder="1" applyAlignment="1">
      <alignment horizontal="left" vertical="center" wrapText="1"/>
    </xf>
    <xf numFmtId="0" fontId="2" fillId="4" borderId="24" xfId="0" applyFont="1" applyFill="1" applyBorder="1" applyAlignment="1">
      <alignment horizontal="left" vertical="center"/>
    </xf>
    <xf numFmtId="0" fontId="2" fillId="4" borderId="26" xfId="0" applyFont="1" applyFill="1" applyBorder="1" applyAlignment="1">
      <alignment horizontal="left"/>
    </xf>
    <xf numFmtId="0" fontId="2" fillId="4" borderId="20" xfId="0" applyFont="1" applyFill="1" applyBorder="1" applyAlignment="1">
      <alignment horizontal="left" vertical="center"/>
    </xf>
    <xf numFmtId="49" fontId="2" fillId="4" borderId="4" xfId="0" applyNumberFormat="1" applyFont="1" applyFill="1" applyBorder="1" applyAlignment="1">
      <alignment horizontal="left" vertical="center" wrapText="1"/>
    </xf>
    <xf numFmtId="0" fontId="2" fillId="4" borderId="5" xfId="0" applyFont="1" applyFill="1" applyBorder="1" applyAlignment="1">
      <alignment horizontal="left" vertical="center"/>
    </xf>
    <xf numFmtId="0" fontId="0" fillId="0" borderId="0" xfId="0" applyAlignment="1">
      <alignment vertical="center"/>
    </xf>
    <xf numFmtId="0" fontId="1" fillId="6" borderId="5" xfId="0" applyFont="1" applyFill="1" applyBorder="1" applyAlignment="1">
      <alignment horizontal="center" vertical="center"/>
    </xf>
    <xf numFmtId="0" fontId="2" fillId="6" borderId="1"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19" xfId="0" applyFont="1" applyFill="1" applyBorder="1" applyAlignment="1">
      <alignment horizontal="center" vertical="center"/>
    </xf>
    <xf numFmtId="0" fontId="0" fillId="0" borderId="0" xfId="0" applyAlignment="1">
      <alignment horizontal="left" vertical="center"/>
    </xf>
    <xf numFmtId="0" fontId="1" fillId="4" borderId="7" xfId="0" applyFont="1" applyFill="1" applyBorder="1" applyAlignment="1">
      <alignment horizontal="right" vertical="center"/>
    </xf>
    <xf numFmtId="0" fontId="2" fillId="4" borderId="13" xfId="0" applyFont="1" applyFill="1" applyBorder="1" applyAlignment="1">
      <alignment horizontal="left" vertical="top" wrapText="1"/>
    </xf>
    <xf numFmtId="0" fontId="0" fillId="0" borderId="0" xfId="0" applyAlignment="1">
      <alignment horizontal="left" vertical="top" wrapText="1"/>
    </xf>
    <xf numFmtId="9" fontId="2" fillId="4" borderId="4" xfId="0" applyNumberFormat="1" applyFont="1" applyFill="1" applyBorder="1" applyAlignment="1">
      <alignment horizontal="left" vertical="center" wrapText="1"/>
    </xf>
    <xf numFmtId="9" fontId="2" fillId="4" borderId="13" xfId="0" applyNumberFormat="1" applyFont="1" applyFill="1" applyBorder="1" applyAlignment="1">
      <alignment horizontal="left" vertical="center" wrapText="1"/>
    </xf>
    <xf numFmtId="0" fontId="0" fillId="0" borderId="0" xfId="0" applyAlignment="1">
      <alignment horizontal="left" vertical="center" wrapText="1"/>
    </xf>
    <xf numFmtId="0" fontId="8" fillId="0" borderId="0" xfId="0" applyFont="1"/>
    <xf numFmtId="0" fontId="1" fillId="4" borderId="2" xfId="0" applyFont="1" applyFill="1" applyBorder="1" applyAlignment="1">
      <alignment horizontal="center" vertical="center"/>
    </xf>
    <xf numFmtId="0" fontId="1" fillId="2" borderId="6" xfId="0" applyFont="1" applyFill="1" applyBorder="1" applyAlignment="1">
      <alignment horizontal="center" vertical="center"/>
    </xf>
    <xf numFmtId="0" fontId="0" fillId="0" borderId="0" xfId="0" applyAlignment="1">
      <alignment horizontal="center" vertical="center" wrapText="1"/>
    </xf>
    <xf numFmtId="0" fontId="0" fillId="0" borderId="9" xfId="0" applyBorder="1" applyAlignment="1">
      <alignment horizontal="center" vertical="center"/>
    </xf>
    <xf numFmtId="0" fontId="0" fillId="0" borderId="0" xfId="0" applyAlignment="1">
      <alignment wrapText="1"/>
    </xf>
    <xf numFmtId="0" fontId="1" fillId="4" borderId="21" xfId="0" applyFont="1" applyFill="1" applyBorder="1" applyAlignment="1">
      <alignment horizontal="center" vertical="center"/>
    </xf>
    <xf numFmtId="0" fontId="1" fillId="4" borderId="23" xfId="0" applyFont="1" applyFill="1" applyBorder="1" applyAlignment="1">
      <alignment horizontal="center" vertical="center"/>
    </xf>
    <xf numFmtId="0" fontId="1" fillId="4" borderId="25" xfId="0" applyFont="1" applyFill="1" applyBorder="1" applyAlignment="1">
      <alignment horizontal="center" vertical="center"/>
    </xf>
    <xf numFmtId="0" fontId="1" fillId="5" borderId="6" xfId="0" applyFont="1" applyFill="1" applyBorder="1" applyAlignment="1">
      <alignment horizontal="center" vertical="center"/>
    </xf>
    <xf numFmtId="0" fontId="0" fillId="0" borderId="9" xfId="0" applyBorder="1"/>
    <xf numFmtId="0" fontId="0" fillId="0" borderId="9" xfId="0" applyBorder="1" applyAlignment="1">
      <alignment horizontal="center"/>
    </xf>
    <xf numFmtId="0" fontId="10" fillId="0" borderId="0" xfId="0" applyFont="1" applyAlignment="1">
      <alignment wrapText="1"/>
    </xf>
    <xf numFmtId="0" fontId="5" fillId="0" borderId="0" xfId="0" applyFont="1"/>
    <xf numFmtId="0" fontId="2" fillId="4" borderId="3"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2" fillId="4" borderId="15"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5" borderId="6" xfId="0" applyFont="1" applyFill="1" applyBorder="1" applyAlignment="1">
      <alignment horizontal="left" vertical="center" wrapText="1"/>
    </xf>
    <xf numFmtId="0" fontId="2" fillId="5" borderId="24" xfId="0" applyFont="1" applyFill="1" applyBorder="1" applyAlignment="1">
      <alignment horizontal="left" vertical="center" wrapText="1"/>
    </xf>
    <xf numFmtId="0" fontId="2" fillId="5" borderId="4" xfId="0" applyFont="1" applyFill="1" applyBorder="1" applyAlignment="1">
      <alignment vertical="center" wrapText="1"/>
    </xf>
    <xf numFmtId="0" fontId="1" fillId="2" borderId="1"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1" fillId="6" borderId="29"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1" fillId="5" borderId="23"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horizontal="center" wrapText="1"/>
    </xf>
    <xf numFmtId="0" fontId="10" fillId="5" borderId="5" xfId="0" applyFont="1" applyFill="1" applyBorder="1" applyAlignment="1">
      <alignment horizontal="center" vertical="center" wrapText="1"/>
    </xf>
    <xf numFmtId="0" fontId="10" fillId="5" borderId="5" xfId="0" applyFont="1" applyFill="1" applyBorder="1" applyAlignment="1">
      <alignment horizontal="left" vertical="center" wrapText="1"/>
    </xf>
    <xf numFmtId="49" fontId="2" fillId="5" borderId="4" xfId="0" applyNumberFormat="1" applyFont="1" applyFill="1" applyBorder="1" applyAlignment="1">
      <alignment horizontal="left" vertical="center"/>
    </xf>
    <xf numFmtId="0" fontId="1" fillId="6" borderId="8" xfId="0" applyFont="1" applyFill="1" applyBorder="1" applyAlignment="1">
      <alignment horizontal="left" vertical="top"/>
    </xf>
    <xf numFmtId="0" fontId="2" fillId="6" borderId="9" xfId="0" applyFont="1" applyFill="1" applyBorder="1" applyAlignment="1">
      <alignment horizontal="left" vertical="center" wrapText="1"/>
    </xf>
    <xf numFmtId="49" fontId="2" fillId="6" borderId="4" xfId="0" applyNumberFormat="1" applyFont="1" applyFill="1" applyBorder="1" applyAlignment="1">
      <alignment horizontal="center" vertical="center"/>
    </xf>
    <xf numFmtId="0" fontId="5" fillId="0" borderId="0" xfId="0" applyFont="1" applyAlignment="1">
      <alignment horizontal="center" vertical="center" wrapText="1"/>
    </xf>
    <xf numFmtId="0" fontId="1" fillId="5" borderId="5" xfId="0" applyFont="1" applyFill="1" applyBorder="1" applyAlignment="1">
      <alignment horizontal="center" vertical="center" wrapText="1"/>
    </xf>
    <xf numFmtId="0" fontId="5" fillId="5" borderId="5" xfId="0" applyFont="1" applyFill="1" applyBorder="1" applyAlignment="1">
      <alignment horizontal="center"/>
    </xf>
    <xf numFmtId="0" fontId="5" fillId="5" borderId="8" xfId="0" applyFont="1" applyFill="1" applyBorder="1" applyAlignment="1">
      <alignment horizontal="center"/>
    </xf>
    <xf numFmtId="0" fontId="2" fillId="6" borderId="4" xfId="0" applyFont="1" applyFill="1" applyBorder="1" applyAlignment="1">
      <alignment horizontal="center" vertical="center"/>
    </xf>
    <xf numFmtId="0" fontId="2" fillId="6" borderId="4" xfId="0" applyFont="1" applyFill="1" applyBorder="1" applyAlignment="1">
      <alignment horizontal="left" vertical="top" wrapText="1"/>
    </xf>
    <xf numFmtId="0" fontId="2" fillId="6" borderId="4" xfId="0" applyFont="1" applyFill="1" applyBorder="1" applyAlignment="1">
      <alignment horizontal="center" vertical="center" wrapText="1"/>
    </xf>
    <xf numFmtId="10" fontId="2" fillId="4" borderId="4" xfId="0" applyNumberFormat="1" applyFont="1" applyFill="1" applyBorder="1" applyAlignment="1">
      <alignment horizontal="center" vertical="center"/>
    </xf>
    <xf numFmtId="0" fontId="2" fillId="4" borderId="6" xfId="0" applyFont="1" applyFill="1" applyBorder="1" applyAlignment="1">
      <alignment horizontal="left" vertical="center" wrapText="1"/>
    </xf>
    <xf numFmtId="0" fontId="10" fillId="5" borderId="5" xfId="0" applyFont="1" applyFill="1" applyBorder="1" applyAlignment="1">
      <alignment vertical="center" wrapText="1"/>
    </xf>
    <xf numFmtId="10" fontId="2" fillId="4" borderId="4" xfId="0" applyNumberFormat="1" applyFont="1" applyFill="1" applyBorder="1" applyAlignment="1">
      <alignment horizontal="left" vertical="center" wrapText="1"/>
    </xf>
    <xf numFmtId="0" fontId="1" fillId="6" borderId="6" xfId="0" applyFont="1" applyFill="1" applyBorder="1" applyAlignment="1">
      <alignment horizontal="center" vertical="center"/>
    </xf>
    <xf numFmtId="0" fontId="2" fillId="6" borderId="5" xfId="0" applyFont="1" applyFill="1" applyBorder="1" applyAlignment="1">
      <alignment horizontal="left" vertical="top" wrapText="1"/>
    </xf>
    <xf numFmtId="0" fontId="2" fillId="6" borderId="5" xfId="0" applyFont="1" applyFill="1" applyBorder="1" applyAlignment="1">
      <alignment horizontal="center" vertical="center"/>
    </xf>
    <xf numFmtId="0" fontId="2" fillId="6" borderId="5" xfId="0" applyFont="1" applyFill="1" applyBorder="1" applyAlignment="1">
      <alignment horizontal="left" vertical="center" wrapText="1"/>
    </xf>
    <xf numFmtId="10" fontId="2" fillId="6" borderId="5" xfId="0" applyNumberFormat="1" applyFont="1" applyFill="1" applyBorder="1" applyAlignment="1">
      <alignment horizontal="left" vertical="center" wrapText="1"/>
    </xf>
    <xf numFmtId="0" fontId="2" fillId="6" borderId="4" xfId="0" applyFont="1" applyFill="1" applyBorder="1" applyAlignment="1">
      <alignment horizontal="left" vertical="center" wrapText="1"/>
    </xf>
    <xf numFmtId="0" fontId="2" fillId="6" borderId="5" xfId="0" applyFont="1" applyFill="1" applyBorder="1" applyAlignment="1">
      <alignment horizontal="center" vertical="center" wrapText="1"/>
    </xf>
    <xf numFmtId="9" fontId="2" fillId="6" borderId="4" xfId="0" applyNumberFormat="1" applyFont="1" applyFill="1" applyBorder="1" applyAlignment="1">
      <alignment horizontal="left" vertical="center" wrapText="1"/>
    </xf>
    <xf numFmtId="0" fontId="2" fillId="4" borderId="4" xfId="0" applyFont="1" applyFill="1" applyBorder="1" applyAlignment="1">
      <alignment horizontal="center" vertical="top" wrapText="1"/>
    </xf>
    <xf numFmtId="0" fontId="2" fillId="4" borderId="1" xfId="0" applyFont="1" applyFill="1" applyBorder="1" applyAlignment="1">
      <alignment vertical="center" wrapText="1"/>
    </xf>
    <xf numFmtId="0" fontId="2" fillId="4" borderId="1" xfId="0" applyFont="1" applyFill="1" applyBorder="1" applyAlignment="1">
      <alignment vertical="top" wrapText="1"/>
    </xf>
    <xf numFmtId="0" fontId="5" fillId="5" borderId="5" xfId="0" applyFont="1" applyFill="1" applyBorder="1" applyAlignment="1">
      <alignment horizontal="center" vertical="center" wrapText="1"/>
    </xf>
    <xf numFmtId="0" fontId="0" fillId="5" borderId="9" xfId="0" applyFill="1" applyBorder="1" applyAlignment="1">
      <alignment horizontal="center" vertical="center" wrapText="1"/>
    </xf>
    <xf numFmtId="0" fontId="0" fillId="5" borderId="5" xfId="0" applyFill="1" applyBorder="1" applyAlignment="1">
      <alignment horizontal="center" vertical="center" wrapText="1"/>
    </xf>
    <xf numFmtId="0" fontId="0" fillId="5" borderId="5" xfId="0" applyFill="1" applyBorder="1" applyAlignment="1">
      <alignment horizontal="left" vertical="center" wrapText="1"/>
    </xf>
    <xf numFmtId="0" fontId="0" fillId="5" borderId="0" xfId="0" applyFill="1" applyAlignment="1">
      <alignment horizontal="center" vertical="center" wrapText="1"/>
    </xf>
    <xf numFmtId="0" fontId="0" fillId="5" borderId="2" xfId="0" applyFill="1" applyBorder="1" applyAlignment="1">
      <alignment horizontal="center" vertical="center" wrapText="1"/>
    </xf>
    <xf numFmtId="0" fontId="0" fillId="5" borderId="2" xfId="0" applyFill="1" applyBorder="1" applyAlignment="1">
      <alignment horizontal="left" vertical="center" wrapText="1"/>
    </xf>
    <xf numFmtId="0" fontId="10" fillId="6" borderId="5" xfId="0" applyFont="1" applyFill="1" applyBorder="1" applyAlignment="1">
      <alignment horizontal="left" vertical="center" wrapText="1"/>
    </xf>
    <xf numFmtId="0" fontId="10" fillId="6" borderId="5" xfId="0" applyFont="1" applyFill="1" applyBorder="1" applyAlignment="1">
      <alignment horizontal="center" vertical="center" wrapText="1"/>
    </xf>
    <xf numFmtId="0" fontId="10" fillId="6" borderId="8" xfId="0" applyFont="1" applyFill="1" applyBorder="1" applyAlignment="1">
      <alignment horizontal="center" vertical="center" wrapText="1"/>
    </xf>
    <xf numFmtId="0" fontId="10" fillId="6" borderId="8" xfId="0" applyFont="1" applyFill="1" applyBorder="1" applyAlignment="1">
      <alignment horizontal="left" vertical="center" wrapText="1"/>
    </xf>
    <xf numFmtId="0" fontId="9" fillId="6" borderId="5" xfId="0" applyFont="1" applyFill="1" applyBorder="1" applyAlignment="1">
      <alignment horizontal="center" vertical="center" wrapText="1"/>
    </xf>
    <xf numFmtId="0" fontId="2" fillId="5" borderId="5" xfId="0" applyFont="1" applyFill="1" applyBorder="1" applyAlignment="1">
      <alignment horizontal="left" vertical="center" wrapText="1"/>
    </xf>
    <xf numFmtId="0" fontId="1" fillId="4" borderId="18" xfId="0" applyFont="1" applyFill="1" applyBorder="1" applyAlignment="1">
      <alignment horizontal="center" vertical="center"/>
    </xf>
    <xf numFmtId="0" fontId="1" fillId="5" borderId="1" xfId="0" applyFont="1" applyFill="1" applyBorder="1" applyAlignment="1">
      <alignment horizontal="center" vertical="center"/>
    </xf>
    <xf numFmtId="49" fontId="1" fillId="5"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applyAlignment="1">
      <alignment horizontal="left" vertical="center" wrapText="1"/>
    </xf>
    <xf numFmtId="49" fontId="2" fillId="5" borderId="1" xfId="0" applyNumberFormat="1" applyFont="1" applyFill="1" applyBorder="1" applyAlignment="1">
      <alignment horizontal="center" vertical="center"/>
    </xf>
    <xf numFmtId="0" fontId="0" fillId="0" borderId="16" xfId="0" applyBorder="1" applyAlignment="1">
      <alignment horizontal="center" vertical="center"/>
    </xf>
    <xf numFmtId="0" fontId="1" fillId="6" borderId="4" xfId="0" applyFont="1" applyFill="1" applyBorder="1" applyAlignment="1">
      <alignment horizontal="center" vertical="center"/>
    </xf>
    <xf numFmtId="0" fontId="2" fillId="6" borderId="4" xfId="0" applyFont="1" applyFill="1" applyBorder="1" applyAlignment="1">
      <alignment horizontal="left" vertical="center"/>
    </xf>
    <xf numFmtId="9" fontId="2" fillId="6" borderId="4" xfId="0" applyNumberFormat="1"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13" xfId="0" applyFont="1" applyFill="1" applyBorder="1" applyAlignment="1">
      <alignment horizontal="center" vertical="center" wrapText="1"/>
    </xf>
    <xf numFmtId="0" fontId="2" fillId="4" borderId="30" xfId="0" applyFont="1" applyFill="1" applyBorder="1" applyAlignment="1">
      <alignment horizontal="center" vertical="center"/>
    </xf>
    <xf numFmtId="0" fontId="12" fillId="0" borderId="0" xfId="0" applyFont="1" applyAlignment="1">
      <alignment vertical="center"/>
    </xf>
    <xf numFmtId="0" fontId="0" fillId="5" borderId="9" xfId="0" applyFill="1" applyBorder="1" applyAlignment="1">
      <alignment horizontal="left" vertical="center" wrapText="1"/>
    </xf>
    <xf numFmtId="20" fontId="0" fillId="5" borderId="0" xfId="0" applyNumberFormat="1" applyFill="1" applyAlignment="1">
      <alignment horizontal="left" vertical="center" wrapText="1"/>
    </xf>
    <xf numFmtId="20" fontId="0" fillId="5" borderId="9" xfId="0" applyNumberFormat="1" applyFill="1" applyBorder="1" applyAlignment="1">
      <alignment horizontal="left" vertical="center" wrapText="1"/>
    </xf>
    <xf numFmtId="0" fontId="0" fillId="5" borderId="0" xfId="0" applyFill="1" applyAlignment="1">
      <alignment horizontal="left" vertical="center" wrapText="1"/>
    </xf>
    <xf numFmtId="0" fontId="13" fillId="0" borderId="0" xfId="0" applyFont="1" applyAlignment="1">
      <alignment horizontal="left" vertical="center"/>
    </xf>
    <xf numFmtId="0" fontId="2" fillId="5" borderId="1" xfId="0" applyFont="1" applyFill="1" applyBorder="1" applyAlignment="1">
      <alignment horizontal="center" vertical="center" wrapText="1"/>
    </xf>
    <xf numFmtId="0" fontId="10" fillId="8" borderId="5" xfId="0" applyFont="1" applyFill="1" applyBorder="1" applyAlignment="1">
      <alignment horizontal="left" vertical="center" wrapText="1"/>
    </xf>
    <xf numFmtId="10" fontId="10" fillId="6" borderId="5" xfId="0" applyNumberFormat="1" applyFont="1" applyFill="1" applyBorder="1" applyAlignment="1">
      <alignment horizontal="left" vertical="center" wrapText="1"/>
    </xf>
    <xf numFmtId="0" fontId="2" fillId="5" borderId="16" xfId="0" applyFont="1" applyFill="1" applyBorder="1" applyAlignment="1">
      <alignment horizontal="left" vertical="center"/>
    </xf>
    <xf numFmtId="0" fontId="2" fillId="5" borderId="16" xfId="0" applyFont="1" applyFill="1" applyBorder="1" applyAlignment="1">
      <alignment horizontal="center" vertical="center"/>
    </xf>
    <xf numFmtId="0" fontId="2" fillId="5" borderId="16" xfId="0" applyFont="1" applyFill="1" applyBorder="1" applyAlignment="1">
      <alignment horizontal="left" vertical="center" wrapText="1"/>
    </xf>
    <xf numFmtId="0" fontId="2" fillId="5" borderId="11" xfId="0" applyFont="1" applyFill="1" applyBorder="1" applyAlignment="1">
      <alignment vertical="center"/>
    </xf>
    <xf numFmtId="0" fontId="2" fillId="5" borderId="9" xfId="0" applyFont="1" applyFill="1" applyBorder="1" applyAlignment="1">
      <alignment horizontal="center" vertical="center"/>
    </xf>
    <xf numFmtId="0" fontId="2" fillId="5" borderId="10" xfId="0" applyFont="1" applyFill="1" applyBorder="1" applyAlignment="1">
      <alignment vertical="center"/>
    </xf>
    <xf numFmtId="0" fontId="2" fillId="5" borderId="4" xfId="0" applyFont="1" applyFill="1" applyBorder="1" applyAlignment="1">
      <alignment horizontal="left" vertical="top" wrapText="1"/>
    </xf>
    <xf numFmtId="0" fontId="2" fillId="5" borderId="9" xfId="0" applyFont="1" applyFill="1" applyBorder="1" applyAlignment="1">
      <alignment vertical="center"/>
    </xf>
    <xf numFmtId="0" fontId="11" fillId="6" borderId="5" xfId="0" applyFont="1" applyFill="1" applyBorder="1" applyAlignment="1">
      <alignment horizontal="center" vertical="center"/>
    </xf>
    <xf numFmtId="0" fontId="6" fillId="6" borderId="18"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 xfId="0" applyFont="1" applyFill="1" applyBorder="1" applyAlignment="1">
      <alignment vertical="center"/>
    </xf>
    <xf numFmtId="0" fontId="7" fillId="6" borderId="5" xfId="0" applyFont="1" applyFill="1" applyBorder="1" applyAlignment="1">
      <alignment vertical="center" wrapText="1"/>
    </xf>
    <xf numFmtId="0" fontId="7" fillId="6" borderId="5" xfId="0" applyFont="1" applyFill="1" applyBorder="1" applyAlignment="1">
      <alignment horizontal="center" vertical="center" wrapText="1"/>
    </xf>
    <xf numFmtId="49" fontId="7" fillId="6" borderId="5" xfId="0" applyNumberFormat="1" applyFont="1" applyFill="1" applyBorder="1" applyAlignment="1">
      <alignment horizontal="center" vertical="center"/>
    </xf>
    <xf numFmtId="0" fontId="2" fillId="5" borderId="1" xfId="0" applyFont="1" applyFill="1" applyBorder="1" applyAlignment="1">
      <alignment horizontal="left" vertical="top" wrapText="1"/>
    </xf>
    <xf numFmtId="0" fontId="14" fillId="0" borderId="0" xfId="0" applyFont="1"/>
    <xf numFmtId="0" fontId="10" fillId="6" borderId="9" xfId="0" applyFont="1" applyFill="1" applyBorder="1" applyAlignment="1">
      <alignment horizontal="center" vertical="center" wrapText="1"/>
    </xf>
    <xf numFmtId="9" fontId="10" fillId="6" borderId="8" xfId="0" applyNumberFormat="1" applyFont="1" applyFill="1" applyBorder="1" applyAlignment="1">
      <alignment horizontal="left" vertical="center" wrapText="1"/>
    </xf>
    <xf numFmtId="0" fontId="2" fillId="4" borderId="3" xfId="0" applyFont="1" applyFill="1" applyBorder="1" applyAlignment="1">
      <alignment horizontal="left" vertical="center" wrapText="1"/>
    </xf>
    <xf numFmtId="0" fontId="2" fillId="6" borderId="8" xfId="0" applyFont="1" applyFill="1" applyBorder="1" applyAlignment="1">
      <alignment horizontal="left" vertical="center" wrapText="1"/>
    </xf>
    <xf numFmtId="49" fontId="2" fillId="6" borderId="10" xfId="0" applyNumberFormat="1" applyFont="1" applyFill="1" applyBorder="1" applyAlignment="1">
      <alignment horizontal="center" vertical="center"/>
    </xf>
    <xf numFmtId="0" fontId="0" fillId="5" borderId="1" xfId="0" applyFill="1" applyBorder="1" applyAlignment="1">
      <alignment horizontal="center" vertical="center" wrapText="1"/>
    </xf>
    <xf numFmtId="10" fontId="10" fillId="5" borderId="5" xfId="0" applyNumberFormat="1" applyFont="1" applyFill="1" applyBorder="1" applyAlignment="1">
      <alignment horizontal="center" vertical="center" wrapText="1"/>
    </xf>
    <xf numFmtId="9" fontId="10" fillId="5" borderId="5" xfId="0" applyNumberFormat="1" applyFont="1" applyFill="1" applyBorder="1" applyAlignment="1">
      <alignment horizontal="center" vertical="center" wrapText="1"/>
    </xf>
    <xf numFmtId="9" fontId="10" fillId="6" borderId="5" xfId="0" applyNumberFormat="1" applyFont="1" applyFill="1" applyBorder="1" applyAlignment="1">
      <alignment horizontal="left" vertical="center" wrapText="1"/>
    </xf>
    <xf numFmtId="0" fontId="2" fillId="5" borderId="13" xfId="0" applyFont="1" applyFill="1" applyBorder="1" applyAlignment="1">
      <alignment vertical="center" wrapText="1"/>
    </xf>
    <xf numFmtId="49" fontId="2" fillId="4" borderId="2" xfId="0" applyNumberFormat="1" applyFont="1" applyFill="1" applyBorder="1" applyAlignment="1">
      <alignment horizontal="center" vertical="center"/>
    </xf>
    <xf numFmtId="0" fontId="1" fillId="4" borderId="1" xfId="0" applyFont="1" applyFill="1" applyBorder="1" applyAlignment="1">
      <alignment horizontal="right" vertical="center"/>
    </xf>
    <xf numFmtId="0" fontId="2" fillId="4" borderId="32" xfId="0" applyFont="1" applyFill="1" applyBorder="1" applyAlignment="1">
      <alignment vertical="center" wrapText="1"/>
    </xf>
    <xf numFmtId="0" fontId="2" fillId="4" borderId="32" xfId="0" applyFont="1" applyFill="1" applyBorder="1" applyAlignment="1">
      <alignment horizontal="center" vertical="center" wrapText="1"/>
    </xf>
    <xf numFmtId="49" fontId="2" fillId="4" borderId="32" xfId="0" applyNumberFormat="1" applyFont="1" applyFill="1" applyBorder="1" applyAlignment="1">
      <alignment horizontal="center" vertical="center"/>
    </xf>
    <xf numFmtId="0" fontId="1" fillId="4" borderId="31" xfId="0" applyFont="1" applyFill="1" applyBorder="1" applyAlignment="1">
      <alignment horizontal="right" vertical="center"/>
    </xf>
    <xf numFmtId="0" fontId="2" fillId="4" borderId="28" xfId="0" applyFont="1" applyFill="1" applyBorder="1" applyAlignment="1">
      <alignment horizontal="center" vertical="center"/>
    </xf>
    <xf numFmtId="0" fontId="2" fillId="4" borderId="28" xfId="0" applyFont="1" applyFill="1" applyBorder="1" applyAlignment="1">
      <alignment vertical="center" wrapText="1"/>
    </xf>
    <xf numFmtId="0" fontId="2" fillId="4" borderId="28" xfId="0" applyFont="1" applyFill="1" applyBorder="1" applyAlignment="1">
      <alignment horizontal="center" vertical="center" wrapText="1"/>
    </xf>
    <xf numFmtId="49" fontId="2" fillId="4" borderId="28" xfId="0" applyNumberFormat="1" applyFont="1" applyFill="1" applyBorder="1" applyAlignment="1">
      <alignment horizontal="center" vertical="center"/>
    </xf>
    <xf numFmtId="0" fontId="5" fillId="5" borderId="6" xfId="0" applyFont="1" applyFill="1" applyBorder="1" applyAlignment="1">
      <alignment horizontal="center" vertical="center" wrapText="1"/>
    </xf>
    <xf numFmtId="0" fontId="0" fillId="5" borderId="17" xfId="0" applyFill="1" applyBorder="1" applyAlignment="1">
      <alignment horizontal="center" vertical="center" wrapText="1"/>
    </xf>
    <xf numFmtId="0" fontId="0" fillId="5" borderId="6" xfId="0" applyFill="1" applyBorder="1" applyAlignment="1">
      <alignment horizontal="left" vertical="center" wrapText="1"/>
    </xf>
    <xf numFmtId="0" fontId="0" fillId="5" borderId="6" xfId="0" applyFill="1" applyBorder="1" applyAlignment="1">
      <alignment horizontal="center" vertical="center" wrapText="1"/>
    </xf>
    <xf numFmtId="0" fontId="0" fillId="5" borderId="17" xfId="0" applyFill="1" applyBorder="1" applyAlignment="1">
      <alignment horizontal="left" vertical="center" wrapText="1"/>
    </xf>
    <xf numFmtId="0" fontId="1" fillId="2" borderId="6" xfId="0" applyFont="1" applyFill="1" applyBorder="1" applyAlignment="1">
      <alignment horizontal="center" vertical="center" wrapText="1"/>
    </xf>
    <xf numFmtId="0" fontId="5" fillId="5" borderId="18" xfId="0" applyFont="1" applyFill="1" applyBorder="1" applyAlignment="1">
      <alignment horizontal="center"/>
    </xf>
    <xf numFmtId="0" fontId="2" fillId="4" borderId="2" xfId="0" applyFont="1" applyFill="1" applyBorder="1" applyAlignment="1">
      <alignment horizontal="left"/>
    </xf>
    <xf numFmtId="0" fontId="1" fillId="3" borderId="1" xfId="0" applyFont="1" applyFill="1" applyBorder="1" applyAlignment="1">
      <alignment horizontal="center" vertical="center"/>
    </xf>
    <xf numFmtId="0" fontId="1" fillId="3" borderId="6" xfId="0" applyFont="1" applyFill="1" applyBorder="1" applyAlignment="1">
      <alignment horizontal="center" vertical="center"/>
    </xf>
    <xf numFmtId="0" fontId="2" fillId="4" borderId="2"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2" xfId="0" applyFont="1" applyFill="1" applyBorder="1" applyAlignment="1">
      <alignment horizontal="center" vertical="center"/>
    </xf>
    <xf numFmtId="0" fontId="2" fillId="4" borderId="6" xfId="0" applyFont="1" applyFill="1" applyBorder="1" applyAlignment="1">
      <alignment horizontal="center" vertical="center"/>
    </xf>
    <xf numFmtId="0" fontId="14" fillId="0" borderId="0" xfId="0" applyFont="1" applyAlignment="1">
      <alignment horizontal="center" vertical="center"/>
    </xf>
    <xf numFmtId="0" fontId="1" fillId="3" borderId="1" xfId="0" applyFont="1" applyFill="1" applyBorder="1" applyAlignment="1">
      <alignment horizontal="center" vertical="center" wrapText="1"/>
    </xf>
    <xf numFmtId="0" fontId="1" fillId="4" borderId="2" xfId="0" applyFont="1" applyFill="1" applyBorder="1" applyAlignment="1">
      <alignment horizontal="center" vertical="center"/>
    </xf>
    <xf numFmtId="49" fontId="2" fillId="4" borderId="2" xfId="0" applyNumberFormat="1" applyFont="1" applyFill="1" applyBorder="1" applyAlignment="1">
      <alignment horizontal="center" vertical="center"/>
    </xf>
    <xf numFmtId="49" fontId="2" fillId="4" borderId="6" xfId="0" applyNumberFormat="1" applyFont="1" applyFill="1" applyBorder="1" applyAlignment="1">
      <alignment horizontal="center" vertical="center"/>
    </xf>
    <xf numFmtId="0" fontId="1" fillId="3" borderId="6" xfId="0" applyFont="1" applyFill="1" applyBorder="1" applyAlignment="1">
      <alignment horizontal="center" vertical="center" wrapText="1"/>
    </xf>
    <xf numFmtId="0" fontId="2" fillId="4" borderId="2" xfId="0" applyFont="1" applyFill="1" applyBorder="1" applyAlignment="1">
      <alignment horizontal="left" vertical="top"/>
    </xf>
    <xf numFmtId="0" fontId="2" fillId="4" borderId="6" xfId="0" applyFont="1" applyFill="1" applyBorder="1" applyAlignment="1">
      <alignment horizontal="left" vertical="top"/>
    </xf>
    <xf numFmtId="0" fontId="2" fillId="6" borderId="8" xfId="0" applyFont="1" applyFill="1" applyBorder="1" applyAlignment="1">
      <alignment horizontal="center" vertical="center"/>
    </xf>
    <xf numFmtId="0" fontId="2" fillId="6" borderId="9" xfId="0" applyFont="1" applyFill="1" applyBorder="1" applyAlignment="1">
      <alignment horizontal="center" vertical="center"/>
    </xf>
    <xf numFmtId="0" fontId="2" fillId="6" borderId="10" xfId="0" applyFont="1" applyFill="1" applyBorder="1" applyAlignment="1">
      <alignment horizontal="center" vertical="center"/>
    </xf>
    <xf numFmtId="49" fontId="2" fillId="4" borderId="14" xfId="0" applyNumberFormat="1" applyFont="1" applyFill="1" applyBorder="1" applyAlignment="1">
      <alignment horizontal="center" vertical="center"/>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4" borderId="1" xfId="0" applyFont="1" applyFill="1" applyBorder="1" applyAlignment="1">
      <alignment horizontal="left" vertical="top"/>
    </xf>
    <xf numFmtId="49" fontId="2" fillId="4" borderId="1" xfId="0" applyNumberFormat="1" applyFont="1" applyFill="1" applyBorder="1" applyAlignment="1">
      <alignment horizontal="center" vertical="center"/>
    </xf>
    <xf numFmtId="0" fontId="1" fillId="5" borderId="8" xfId="0" applyFont="1" applyFill="1" applyBorder="1" applyAlignment="1">
      <alignment horizontal="center" vertical="center"/>
    </xf>
    <xf numFmtId="0" fontId="1" fillId="5" borderId="9" xfId="0" applyFont="1" applyFill="1" applyBorder="1" applyAlignment="1">
      <alignment horizontal="center" vertical="center"/>
    </xf>
    <xf numFmtId="0" fontId="1" fillId="5" borderId="10" xfId="0" applyFont="1" applyFill="1" applyBorder="1" applyAlignment="1">
      <alignment horizontal="center" vertical="center"/>
    </xf>
    <xf numFmtId="0" fontId="2" fillId="4" borderId="1" xfId="0" applyFont="1" applyFill="1" applyBorder="1" applyAlignment="1">
      <alignment horizontal="left" vertical="top" wrapText="1"/>
    </xf>
    <xf numFmtId="0" fontId="2" fillId="4" borderId="2" xfId="0" applyFont="1" applyFill="1" applyBorder="1" applyAlignment="1">
      <alignment horizontal="left" vertical="top" wrapText="1"/>
    </xf>
    <xf numFmtId="0" fontId="2" fillId="4" borderId="6" xfId="0" applyFont="1" applyFill="1" applyBorder="1" applyAlignment="1">
      <alignment horizontal="left" vertical="top" wrapText="1"/>
    </xf>
    <xf numFmtId="0" fontId="2" fillId="4" borderId="1" xfId="0" applyFont="1" applyFill="1" applyBorder="1" applyAlignment="1">
      <alignment horizontal="left" vertical="center" wrapText="1"/>
    </xf>
    <xf numFmtId="0" fontId="2" fillId="4" borderId="2" xfId="0" applyFont="1" applyFill="1" applyBorder="1" applyAlignment="1">
      <alignment horizontal="left" vertical="center" wrapText="1"/>
    </xf>
    <xf numFmtId="0" fontId="2" fillId="4" borderId="6" xfId="0" applyFont="1" applyFill="1" applyBorder="1" applyAlignment="1">
      <alignment horizontal="left" vertical="center" wrapText="1"/>
    </xf>
    <xf numFmtId="0" fontId="1" fillId="4" borderId="1" xfId="0" applyFont="1" applyFill="1" applyBorder="1" applyAlignment="1">
      <alignment horizontal="center" vertical="center"/>
    </xf>
    <xf numFmtId="0" fontId="1" fillId="4" borderId="6"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6"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6"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9" xfId="0" applyFont="1" applyFill="1" applyBorder="1" applyAlignment="1">
      <alignment horizontal="center" vertical="center"/>
    </xf>
    <xf numFmtId="0" fontId="1" fillId="4" borderId="10" xfId="0" applyFont="1" applyFill="1" applyBorder="1" applyAlignment="1">
      <alignment horizontal="center" vertical="center"/>
    </xf>
    <xf numFmtId="0" fontId="2" fillId="4" borderId="1" xfId="0" applyFont="1" applyFill="1" applyBorder="1" applyAlignment="1">
      <alignment horizontal="left" vertical="center"/>
    </xf>
    <xf numFmtId="0" fontId="2" fillId="4" borderId="6" xfId="0" applyFont="1" applyFill="1" applyBorder="1" applyAlignment="1">
      <alignment horizontal="left" vertical="center"/>
    </xf>
    <xf numFmtId="0" fontId="2" fillId="8" borderId="1" xfId="0" applyFont="1" applyFill="1" applyBorder="1" applyAlignment="1">
      <alignment horizontal="left" vertical="center"/>
    </xf>
    <xf numFmtId="0" fontId="2" fillId="8" borderId="6" xfId="0" applyFont="1" applyFill="1" applyBorder="1" applyAlignment="1">
      <alignment horizontal="left" vertical="center"/>
    </xf>
    <xf numFmtId="0" fontId="18" fillId="0" borderId="0" xfId="0" applyFont="1" applyAlignment="1">
      <alignment horizontal="center"/>
    </xf>
    <xf numFmtId="0" fontId="1" fillId="2" borderId="1" xfId="0" applyFont="1" applyFill="1" applyBorder="1" applyAlignment="1">
      <alignment horizontal="center" vertical="center"/>
    </xf>
    <xf numFmtId="0" fontId="1" fillId="2" borderId="6" xfId="0" applyFont="1" applyFill="1" applyBorder="1" applyAlignment="1">
      <alignment horizontal="center" vertical="center"/>
    </xf>
    <xf numFmtId="49" fontId="1" fillId="4"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6" xfId="0" applyNumberFormat="1" applyFont="1" applyFill="1" applyBorder="1" applyAlignment="1">
      <alignment horizontal="center" vertical="center"/>
    </xf>
    <xf numFmtId="0" fontId="2" fillId="5" borderId="1" xfId="0" applyFont="1" applyFill="1" applyBorder="1" applyAlignment="1">
      <alignment vertical="top" wrapText="1"/>
    </xf>
    <xf numFmtId="0" fontId="2" fillId="5" borderId="2" xfId="0" applyFont="1" applyFill="1" applyBorder="1" applyAlignment="1">
      <alignment vertical="top" wrapText="1"/>
    </xf>
    <xf numFmtId="0" fontId="16" fillId="0" borderId="0" xfId="0" applyFont="1" applyAlignment="1">
      <alignment horizontal="center"/>
    </xf>
    <xf numFmtId="0" fontId="0" fillId="0" borderId="0" xfId="0" applyAlignment="1">
      <alignment horizontal="center" vertical="center" wrapText="1"/>
    </xf>
    <xf numFmtId="0" fontId="2" fillId="5" borderId="2" xfId="0" applyFont="1" applyFill="1" applyBorder="1" applyAlignment="1">
      <alignment horizontal="center" vertical="center"/>
    </xf>
    <xf numFmtId="0" fontId="2" fillId="5" borderId="1" xfId="0" applyFont="1" applyFill="1" applyBorder="1" applyAlignment="1">
      <alignment horizontal="left" vertical="center" wrapText="1"/>
    </xf>
    <xf numFmtId="0" fontId="2" fillId="5" borderId="2" xfId="0" applyFont="1" applyFill="1" applyBorder="1" applyAlignment="1">
      <alignment horizontal="left" vertical="center" wrapText="1"/>
    </xf>
    <xf numFmtId="0" fontId="14" fillId="0" borderId="0" xfId="0" applyFont="1" applyAlignment="1">
      <alignment horizontal="center"/>
    </xf>
    <xf numFmtId="0" fontId="2" fillId="6" borderId="8" xfId="0" applyFont="1" applyFill="1" applyBorder="1" applyAlignment="1">
      <alignment horizontal="center" vertical="center" wrapText="1"/>
    </xf>
    <xf numFmtId="0" fontId="2" fillId="6" borderId="9" xfId="0" applyFont="1" applyFill="1" applyBorder="1" applyAlignment="1">
      <alignment horizontal="center" vertical="center" wrapText="1"/>
    </xf>
    <xf numFmtId="0" fontId="2" fillId="6" borderId="10" xfId="0" applyFont="1" applyFill="1" applyBorder="1" applyAlignment="1">
      <alignment horizontal="center" vertical="center" wrapText="1"/>
    </xf>
    <xf numFmtId="0" fontId="2" fillId="4" borderId="27" xfId="0" applyFont="1" applyFill="1" applyBorder="1" applyAlignment="1">
      <alignment horizontal="center" vertical="center"/>
    </xf>
    <xf numFmtId="0" fontId="1" fillId="3" borderId="1" xfId="0" applyFont="1" applyFill="1" applyBorder="1" applyAlignment="1">
      <alignment horizontal="left" vertical="center" wrapText="1"/>
    </xf>
    <xf numFmtId="0" fontId="1" fillId="3" borderId="6" xfId="0" applyFont="1" applyFill="1" applyBorder="1" applyAlignment="1">
      <alignment horizontal="left" vertical="center" wrapText="1"/>
    </xf>
    <xf numFmtId="0" fontId="2" fillId="6" borderId="8" xfId="0" applyFont="1" applyFill="1" applyBorder="1" applyAlignment="1">
      <alignment horizontal="center" vertical="top"/>
    </xf>
    <xf numFmtId="0" fontId="2" fillId="6" borderId="9" xfId="0" applyFont="1" applyFill="1" applyBorder="1" applyAlignment="1">
      <alignment horizontal="center" vertical="top"/>
    </xf>
    <xf numFmtId="0" fontId="2" fillId="6" borderId="10" xfId="0" applyFont="1" applyFill="1" applyBorder="1" applyAlignment="1">
      <alignment horizontal="center" vertical="top"/>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7" fillId="0" borderId="0" xfId="0" applyFont="1" applyAlignment="1">
      <alignment horizontal="center" vertical="center" wrapText="1"/>
    </xf>
    <xf numFmtId="0" fontId="1" fillId="3" borderId="6" xfId="0" applyFont="1" applyFill="1" applyBorder="1" applyAlignment="1">
      <alignment horizontal="left" vertical="center"/>
    </xf>
    <xf numFmtId="0" fontId="10" fillId="6" borderId="17" xfId="0" applyFont="1" applyFill="1" applyBorder="1" applyAlignment="1">
      <alignment horizontal="center" wrapText="1"/>
    </xf>
    <xf numFmtId="0" fontId="10" fillId="6" borderId="4" xfId="0" applyFont="1" applyFill="1" applyBorder="1" applyAlignment="1">
      <alignment horizontal="center" wrapText="1"/>
    </xf>
  </cellXfs>
  <cellStyles count="1">
    <cellStyle name="Standaard" xfId="0" builtinId="0"/>
  </cellStyles>
  <dxfs count="1">
    <dxf>
      <alignment horizontal="general" vertical="bottom" textRotation="0" wrapText="1" indent="0" justifyLastLine="0" shrinkToFit="0" readingOrder="0"/>
    </dxf>
  </dxfs>
  <tableStyles count="0" defaultTableStyle="TableStyleMedium2" defaultPivotStyle="PivotStyleLight16"/>
  <colors>
    <mruColors>
      <color rgb="FFFBCF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103415</xdr:colOff>
      <xdr:row>55</xdr:row>
      <xdr:rowOff>102870</xdr:rowOff>
    </xdr:from>
    <xdr:to>
      <xdr:col>6</xdr:col>
      <xdr:colOff>3587840</xdr:colOff>
      <xdr:row>64</xdr:row>
      <xdr:rowOff>178989</xdr:rowOff>
    </xdr:to>
    <xdr:pic>
      <xdr:nvPicPr>
        <xdr:cNvPr id="2" name="Image 1">
          <a:extLst>
            <a:ext uri="{FF2B5EF4-FFF2-40B4-BE49-F238E27FC236}">
              <a16:creationId xmlns:a16="http://schemas.microsoft.com/office/drawing/2014/main" id="{E5D80B75-FDD1-4DB9-BB6D-5D6072F572BB}"/>
            </a:ext>
          </a:extLst>
        </xdr:cNvPr>
        <xdr:cNvPicPr>
          <a:picLocks noChangeAspect="1"/>
        </xdr:cNvPicPr>
      </xdr:nvPicPr>
      <xdr:blipFill>
        <a:blip xmlns:r="http://schemas.openxmlformats.org/officeDocument/2006/relationships" r:embed="rId1"/>
        <a:stretch>
          <a:fillRect/>
        </a:stretch>
      </xdr:blipFill>
      <xdr:spPr>
        <a:xfrm>
          <a:off x="15200540" y="20886420"/>
          <a:ext cx="3481250" cy="1873168"/>
        </a:xfrm>
        <a:prstGeom prst="rect">
          <a:avLst/>
        </a:prstGeom>
      </xdr:spPr>
    </xdr:pic>
    <xdr:clientData/>
  </xdr:twoCellAnchor>
  <xdr:twoCellAnchor editAs="oneCell">
    <xdr:from>
      <xdr:col>6</xdr:col>
      <xdr:colOff>71846</xdr:colOff>
      <xdr:row>66</xdr:row>
      <xdr:rowOff>76200</xdr:rowOff>
    </xdr:from>
    <xdr:to>
      <xdr:col>6</xdr:col>
      <xdr:colOff>3551282</xdr:colOff>
      <xdr:row>69</xdr:row>
      <xdr:rowOff>182845</xdr:rowOff>
    </xdr:to>
    <xdr:pic>
      <xdr:nvPicPr>
        <xdr:cNvPr id="3" name="Image 2">
          <a:extLst>
            <a:ext uri="{FF2B5EF4-FFF2-40B4-BE49-F238E27FC236}">
              <a16:creationId xmlns:a16="http://schemas.microsoft.com/office/drawing/2014/main" id="{387F7378-F5B9-4F01-8AA3-21AD5017E93D}"/>
            </a:ext>
          </a:extLst>
        </xdr:cNvPr>
        <xdr:cNvPicPr>
          <a:picLocks noChangeAspect="1"/>
        </xdr:cNvPicPr>
      </xdr:nvPicPr>
      <xdr:blipFill>
        <a:blip xmlns:r="http://schemas.openxmlformats.org/officeDocument/2006/relationships" r:embed="rId2"/>
        <a:stretch>
          <a:fillRect/>
        </a:stretch>
      </xdr:blipFill>
      <xdr:spPr>
        <a:xfrm>
          <a:off x="18512246" y="22494240"/>
          <a:ext cx="3483428" cy="694655"/>
        </a:xfrm>
        <a:prstGeom prst="rect">
          <a:avLst/>
        </a:prstGeom>
      </xdr:spPr>
    </xdr:pic>
    <xdr:clientData/>
  </xdr:twoCellAnchor>
  <xdr:twoCellAnchor editAs="oneCell">
    <xdr:from>
      <xdr:col>6</xdr:col>
      <xdr:colOff>71847</xdr:colOff>
      <xdr:row>70</xdr:row>
      <xdr:rowOff>114300</xdr:rowOff>
    </xdr:from>
    <xdr:to>
      <xdr:col>6</xdr:col>
      <xdr:colOff>3630567</xdr:colOff>
      <xdr:row>72</xdr:row>
      <xdr:rowOff>39544</xdr:rowOff>
    </xdr:to>
    <xdr:pic>
      <xdr:nvPicPr>
        <xdr:cNvPr id="4" name="Image 3">
          <a:extLst>
            <a:ext uri="{FF2B5EF4-FFF2-40B4-BE49-F238E27FC236}">
              <a16:creationId xmlns:a16="http://schemas.microsoft.com/office/drawing/2014/main" id="{CFB53CC2-76AE-4EAB-8CA1-27726F539838}"/>
            </a:ext>
          </a:extLst>
        </xdr:cNvPr>
        <xdr:cNvPicPr>
          <a:picLocks noChangeAspect="1"/>
        </xdr:cNvPicPr>
      </xdr:nvPicPr>
      <xdr:blipFill>
        <a:blip xmlns:r="http://schemas.openxmlformats.org/officeDocument/2006/relationships" r:embed="rId3"/>
        <a:stretch>
          <a:fillRect/>
        </a:stretch>
      </xdr:blipFill>
      <xdr:spPr>
        <a:xfrm>
          <a:off x="18512247" y="23324820"/>
          <a:ext cx="3548742" cy="3214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144780</xdr:colOff>
      <xdr:row>11</xdr:row>
      <xdr:rowOff>76200</xdr:rowOff>
    </xdr:from>
    <xdr:to>
      <xdr:col>5</xdr:col>
      <xdr:colOff>3617322</xdr:colOff>
      <xdr:row>14</xdr:row>
      <xdr:rowOff>400603</xdr:rowOff>
    </xdr:to>
    <xdr:pic>
      <xdr:nvPicPr>
        <xdr:cNvPr id="2" name="Image 1">
          <a:extLst>
            <a:ext uri="{FF2B5EF4-FFF2-40B4-BE49-F238E27FC236}">
              <a16:creationId xmlns:a16="http://schemas.microsoft.com/office/drawing/2014/main" id="{97BE3E22-14B1-4522-AB64-B709F1963357}"/>
            </a:ext>
          </a:extLst>
        </xdr:cNvPr>
        <xdr:cNvPicPr>
          <a:picLocks noChangeAspect="1"/>
        </xdr:cNvPicPr>
      </xdr:nvPicPr>
      <xdr:blipFill>
        <a:blip xmlns:r="http://schemas.openxmlformats.org/officeDocument/2006/relationships" r:embed="rId1"/>
        <a:stretch>
          <a:fillRect/>
        </a:stretch>
      </xdr:blipFill>
      <xdr:spPr>
        <a:xfrm>
          <a:off x="10066020" y="3200400"/>
          <a:ext cx="3472542" cy="1856023"/>
        </a:xfrm>
        <a:prstGeom prst="rect">
          <a:avLst/>
        </a:prstGeom>
      </xdr:spPr>
    </xdr:pic>
    <xdr:clientData/>
  </xdr:twoCellAnchor>
  <xdr:twoCellAnchor editAs="oneCell">
    <xdr:from>
      <xdr:col>5</xdr:col>
      <xdr:colOff>131717</xdr:colOff>
      <xdr:row>15</xdr:row>
      <xdr:rowOff>2177</xdr:rowOff>
    </xdr:from>
    <xdr:to>
      <xdr:col>5</xdr:col>
      <xdr:colOff>3615145</xdr:colOff>
      <xdr:row>16</xdr:row>
      <xdr:rowOff>179217</xdr:rowOff>
    </xdr:to>
    <xdr:pic>
      <xdr:nvPicPr>
        <xdr:cNvPr id="3" name="Image 2">
          <a:extLst>
            <a:ext uri="{FF2B5EF4-FFF2-40B4-BE49-F238E27FC236}">
              <a16:creationId xmlns:a16="http://schemas.microsoft.com/office/drawing/2014/main" id="{FFDBAFD7-A22C-40D4-A04A-4F9F33013E65}"/>
            </a:ext>
          </a:extLst>
        </xdr:cNvPr>
        <xdr:cNvPicPr>
          <a:picLocks noChangeAspect="1"/>
        </xdr:cNvPicPr>
      </xdr:nvPicPr>
      <xdr:blipFill>
        <a:blip xmlns:r="http://schemas.openxmlformats.org/officeDocument/2006/relationships" r:embed="rId2"/>
        <a:stretch>
          <a:fillRect/>
        </a:stretch>
      </xdr:blipFill>
      <xdr:spPr>
        <a:xfrm>
          <a:off x="10418717" y="5200106"/>
          <a:ext cx="3483428" cy="680504"/>
        </a:xfrm>
        <a:prstGeom prst="rect">
          <a:avLst/>
        </a:prstGeom>
      </xdr:spPr>
    </xdr:pic>
    <xdr:clientData/>
  </xdr:twoCellAnchor>
  <xdr:twoCellAnchor editAs="oneCell">
    <xdr:from>
      <xdr:col>5</xdr:col>
      <xdr:colOff>143692</xdr:colOff>
      <xdr:row>16</xdr:row>
      <xdr:rowOff>297180</xdr:rowOff>
    </xdr:from>
    <xdr:to>
      <xdr:col>5</xdr:col>
      <xdr:colOff>3692434</xdr:colOff>
      <xdr:row>17</xdr:row>
      <xdr:rowOff>108125</xdr:rowOff>
    </xdr:to>
    <xdr:pic>
      <xdr:nvPicPr>
        <xdr:cNvPr id="4" name="Image 3">
          <a:extLst>
            <a:ext uri="{FF2B5EF4-FFF2-40B4-BE49-F238E27FC236}">
              <a16:creationId xmlns:a16="http://schemas.microsoft.com/office/drawing/2014/main" id="{917B35B2-EE93-4150-B1EA-AC5B01A3EE70}"/>
            </a:ext>
          </a:extLst>
        </xdr:cNvPr>
        <xdr:cNvPicPr>
          <a:picLocks noChangeAspect="1"/>
        </xdr:cNvPicPr>
      </xdr:nvPicPr>
      <xdr:blipFill>
        <a:blip xmlns:r="http://schemas.openxmlformats.org/officeDocument/2006/relationships" r:embed="rId3"/>
        <a:stretch>
          <a:fillRect/>
        </a:stretch>
      </xdr:blipFill>
      <xdr:spPr>
        <a:xfrm>
          <a:off x="10064932" y="5974080"/>
          <a:ext cx="3548742" cy="32148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3653FB-379C-410D-A49E-6CFBB196A2D4}" name="Tableau1" displayName="Tableau1" ref="A3:B11" totalsRowShown="0">
  <autoFilter ref="A3:B11" xr:uid="{2B3653FB-379C-410D-A49E-6CFBB196A2D4}"/>
  <tableColumns count="2">
    <tableColumn id="1" xr3:uid="{88FA9E35-541D-4B2C-80FF-4EA56ADF7D56}" name="Data Types"/>
    <tableColumn id="2" xr3:uid="{9105A348-74F0-4B22-8DC5-3E351C7B0114}" name="Implementation" dataDxfId="0"/>
  </tableColumns>
  <tableStyleInfo name="TableStyleMedium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15A8-5A53-49E1-9109-40A65CAA4118}">
  <sheetPr>
    <pageSetUpPr fitToPage="1"/>
  </sheetPr>
  <dimension ref="A2:B11"/>
  <sheetViews>
    <sheetView workbookViewId="0"/>
  </sheetViews>
  <sheetFormatPr defaultColWidth="11.42578125" defaultRowHeight="15"/>
  <cols>
    <col min="1" max="1" width="17.5703125" customWidth="1"/>
    <col min="2" max="2" width="100.42578125" customWidth="1"/>
  </cols>
  <sheetData>
    <row r="2" spans="1:2" ht="18.75">
      <c r="A2" s="192" t="s">
        <v>0</v>
      </c>
    </row>
    <row r="3" spans="1:2">
      <c r="A3" t="s">
        <v>1</v>
      </c>
      <c r="B3" t="s">
        <v>2</v>
      </c>
    </row>
    <row r="4" spans="1:2" ht="60">
      <c r="A4" t="s">
        <v>3</v>
      </c>
      <c r="B4" s="89" t="s">
        <v>4</v>
      </c>
    </row>
    <row r="5" spans="1:2" ht="60">
      <c r="A5" t="s">
        <v>5</v>
      </c>
      <c r="B5" s="89" t="s">
        <v>6</v>
      </c>
    </row>
    <row r="6" spans="1:2" ht="45">
      <c r="A6" t="s">
        <v>7</v>
      </c>
      <c r="B6" s="89" t="s">
        <v>8</v>
      </c>
    </row>
    <row r="7" spans="1:2" ht="45">
      <c r="A7" t="s">
        <v>9</v>
      </c>
      <c r="B7" s="89" t="s">
        <v>10</v>
      </c>
    </row>
    <row r="8" spans="1:2" ht="45">
      <c r="A8" t="s">
        <v>11</v>
      </c>
      <c r="B8" s="89" t="s">
        <v>12</v>
      </c>
    </row>
    <row r="9" spans="1:2" ht="45">
      <c r="B9" s="89" t="s">
        <v>13</v>
      </c>
    </row>
    <row r="10" spans="1:2" ht="60">
      <c r="A10" t="s">
        <v>14</v>
      </c>
      <c r="B10" s="89" t="s">
        <v>15</v>
      </c>
    </row>
    <row r="11" spans="1:2" ht="75">
      <c r="A11" t="s">
        <v>16</v>
      </c>
      <c r="B11" s="89" t="s">
        <v>17</v>
      </c>
    </row>
  </sheetData>
  <pageMargins left="0.7" right="0.7" top="0.75" bottom="0.75" header="0.3" footer="0.3"/>
  <pageSetup scale="76"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5"/>
  <sheetViews>
    <sheetView zoomScaleNormal="100" workbookViewId="0">
      <pane xSplit="7" topLeftCell="H1" activePane="topRight" state="frozen"/>
      <selection pane="topRight" sqref="A1:H1"/>
    </sheetView>
  </sheetViews>
  <sheetFormatPr defaultColWidth="11.42578125" defaultRowHeight="15"/>
  <cols>
    <col min="1" max="1" width="6.5703125" style="60" bestFit="1" customWidth="1"/>
    <col min="2" max="2" width="6.5703125" style="60" customWidth="1"/>
    <col min="3" max="3" width="50" bestFit="1" customWidth="1"/>
    <col min="4" max="4" width="9.42578125" bestFit="1" customWidth="1"/>
    <col min="5" max="5" width="12.140625" customWidth="1"/>
    <col min="6" max="6" width="45.42578125" customWidth="1"/>
    <col min="7" max="7" width="10" bestFit="1" customWidth="1"/>
  </cols>
  <sheetData>
    <row r="1" spans="1:8" ht="19.5" thickBot="1">
      <c r="A1" s="227" t="s">
        <v>18</v>
      </c>
      <c r="B1" s="227"/>
      <c r="C1" s="227"/>
      <c r="D1" s="227"/>
      <c r="E1" s="227"/>
      <c r="F1" s="227"/>
      <c r="G1" s="227"/>
      <c r="H1" s="227"/>
    </row>
    <row r="2" spans="1:8">
      <c r="A2" s="1" t="s">
        <v>19</v>
      </c>
      <c r="B2" s="228" t="s">
        <v>20</v>
      </c>
      <c r="C2" s="221" t="s">
        <v>21</v>
      </c>
      <c r="D2" s="221" t="s">
        <v>22</v>
      </c>
      <c r="E2" s="221" t="s">
        <v>23</v>
      </c>
      <c r="F2" s="221" t="s">
        <v>24</v>
      </c>
      <c r="G2" s="228" t="s">
        <v>25</v>
      </c>
      <c r="H2" s="228" t="s">
        <v>26</v>
      </c>
    </row>
    <row r="3" spans="1:8" ht="15.75" thickBot="1">
      <c r="A3" s="86" t="s">
        <v>27</v>
      </c>
      <c r="B3" s="222"/>
      <c r="C3" s="222"/>
      <c r="D3" s="222"/>
      <c r="E3" s="222"/>
      <c r="F3" s="222"/>
      <c r="G3" s="232"/>
      <c r="H3" s="222"/>
    </row>
    <row r="4" spans="1:8" ht="17.25" customHeight="1" thickBot="1">
      <c r="A4" s="219">
        <v>1</v>
      </c>
      <c r="B4" s="229"/>
      <c r="C4" s="233" t="s">
        <v>28</v>
      </c>
      <c r="D4" s="225">
        <v>20</v>
      </c>
      <c r="E4" s="225" t="s">
        <v>14</v>
      </c>
      <c r="F4" s="225"/>
      <c r="G4" s="223" t="s">
        <v>29</v>
      </c>
      <c r="H4" s="230" t="s">
        <v>30</v>
      </c>
    </row>
    <row r="5" spans="1:8" ht="17.25" customHeight="1" thickBot="1">
      <c r="A5" s="122">
        <v>2</v>
      </c>
      <c r="B5" s="229"/>
      <c r="C5" s="233"/>
      <c r="D5" s="225"/>
      <c r="E5" s="225"/>
      <c r="F5" s="225"/>
      <c r="G5" s="223"/>
      <c r="H5" s="230"/>
    </row>
    <row r="6" spans="1:8" ht="17.25" customHeight="1" thickBot="1">
      <c r="A6" s="122">
        <v>3</v>
      </c>
      <c r="B6" s="229"/>
      <c r="C6" s="233"/>
      <c r="D6" s="225"/>
      <c r="E6" s="225"/>
      <c r="F6" s="225"/>
      <c r="G6" s="223"/>
      <c r="H6" s="230"/>
    </row>
    <row r="7" spans="1:8" ht="17.25" customHeight="1" thickBot="1">
      <c r="A7" s="122">
        <v>4</v>
      </c>
      <c r="B7" s="229"/>
      <c r="C7" s="233"/>
      <c r="D7" s="225"/>
      <c r="E7" s="225"/>
      <c r="F7" s="225"/>
      <c r="G7" s="223"/>
      <c r="H7" s="230"/>
    </row>
    <row r="8" spans="1:8" ht="17.25" customHeight="1" thickBot="1">
      <c r="A8" s="122">
        <v>5</v>
      </c>
      <c r="B8" s="85"/>
      <c r="C8" s="233"/>
      <c r="D8" s="225"/>
      <c r="E8" s="225"/>
      <c r="F8" s="225"/>
      <c r="G8" s="223"/>
      <c r="H8" s="230"/>
    </row>
    <row r="9" spans="1:8" ht="17.25" customHeight="1" thickBot="1">
      <c r="A9" s="122">
        <v>6</v>
      </c>
      <c r="B9" s="85"/>
      <c r="C9" s="233"/>
      <c r="D9" s="225"/>
      <c r="E9" s="225"/>
      <c r="F9" s="225"/>
      <c r="G9" s="223"/>
      <c r="H9" s="230"/>
    </row>
    <row r="10" spans="1:8" ht="17.25" customHeight="1" thickBot="1">
      <c r="A10" s="122">
        <v>7</v>
      </c>
      <c r="B10" s="85"/>
      <c r="C10" s="233"/>
      <c r="D10" s="225"/>
      <c r="E10" s="225"/>
      <c r="F10" s="225"/>
      <c r="G10" s="223"/>
      <c r="H10" s="230"/>
    </row>
    <row r="11" spans="1:8" ht="17.25" customHeight="1" thickBot="1">
      <c r="A11" s="122">
        <v>8</v>
      </c>
      <c r="B11" s="85"/>
      <c r="C11" s="233"/>
      <c r="D11" s="225"/>
      <c r="E11" s="225"/>
      <c r="F11" s="225"/>
      <c r="G11" s="223"/>
      <c r="H11" s="230"/>
    </row>
    <row r="12" spans="1:8" ht="17.25" customHeight="1" thickBot="1">
      <c r="A12" s="122">
        <v>9</v>
      </c>
      <c r="B12" s="85"/>
      <c r="C12" s="233"/>
      <c r="D12" s="225"/>
      <c r="E12" s="225"/>
      <c r="F12" s="225"/>
      <c r="G12" s="223"/>
      <c r="H12" s="230"/>
    </row>
    <row r="13" spans="1:8" ht="17.25" customHeight="1" thickBot="1">
      <c r="A13" s="122">
        <v>10</v>
      </c>
      <c r="B13" s="44"/>
      <c r="C13" s="234"/>
      <c r="D13" s="226"/>
      <c r="E13" s="226"/>
      <c r="F13" s="226"/>
      <c r="G13" s="224"/>
      <c r="H13" s="231"/>
    </row>
    <row r="14" spans="1:8" ht="17.25" customHeight="1" thickBot="1">
      <c r="A14" s="121">
        <v>11</v>
      </c>
      <c r="B14" s="154"/>
      <c r="C14" s="13" t="s">
        <v>31</v>
      </c>
      <c r="D14" s="32">
        <v>2</v>
      </c>
      <c r="E14" s="32" t="s">
        <v>7</v>
      </c>
      <c r="F14" s="13"/>
      <c r="G14" s="43" t="s">
        <v>29</v>
      </c>
      <c r="H14" s="25" t="s">
        <v>30</v>
      </c>
    </row>
    <row r="15" spans="1:8" ht="48.75" thickBot="1">
      <c r="A15" s="184">
        <v>12</v>
      </c>
      <c r="B15" s="185" t="s">
        <v>32</v>
      </c>
      <c r="C15" s="187" t="s">
        <v>33</v>
      </c>
      <c r="D15" s="186">
        <v>1</v>
      </c>
      <c r="E15" s="186" t="s">
        <v>34</v>
      </c>
      <c r="F15" s="188" t="s">
        <v>35</v>
      </c>
      <c r="G15" s="189" t="s">
        <v>36</v>
      </c>
      <c r="H15" s="190" t="s">
        <v>37</v>
      </c>
    </row>
  </sheetData>
  <mergeCells count="15">
    <mergeCell ref="F2:F3"/>
    <mergeCell ref="G4:G13"/>
    <mergeCell ref="F4:F13"/>
    <mergeCell ref="A1:H1"/>
    <mergeCell ref="D2:D3"/>
    <mergeCell ref="E2:E3"/>
    <mergeCell ref="B2:B3"/>
    <mergeCell ref="D4:D13"/>
    <mergeCell ref="E4:E13"/>
    <mergeCell ref="B4:B7"/>
    <mergeCell ref="H2:H3"/>
    <mergeCell ref="H4:H13"/>
    <mergeCell ref="C2:C3"/>
    <mergeCell ref="G2:G3"/>
    <mergeCell ref="C4:C13"/>
  </mergeCells>
  <printOptions gridLines="1"/>
  <pageMargins left="0.70866141732283472" right="0.70866141732283472" top="0.74803149606299213" bottom="0.74803149606299213" header="0.31496062992125984" footer="0.31496062992125984"/>
  <pageSetup paperSize="8" scale="97" fitToHeight="0" orientation="landscape" r:id="rId1"/>
  <headerFooter>
    <oddHeader>&amp;C&amp;A</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72"/>
  <sheetViews>
    <sheetView topLeftCell="A10" zoomScaleNormal="100" workbookViewId="0">
      <pane xSplit="3" topLeftCell="D1" activePane="topRight" state="frozen"/>
      <selection pane="topRight" sqref="A1:H1"/>
    </sheetView>
  </sheetViews>
  <sheetFormatPr defaultColWidth="11.42578125" defaultRowHeight="15"/>
  <cols>
    <col min="1" max="1" width="6.5703125" style="60" bestFit="1" customWidth="1"/>
    <col min="2" max="2" width="15.42578125" style="60" customWidth="1"/>
    <col min="3" max="3" width="64.85546875" customWidth="1"/>
    <col min="4" max="5" width="10.5703125" style="60" bestFit="1" customWidth="1"/>
    <col min="6" max="6" width="38.85546875" customWidth="1"/>
    <col min="7" max="7" width="5.5703125" style="6" customWidth="1"/>
    <col min="8" max="8" width="15.42578125" style="19" bestFit="1" customWidth="1"/>
  </cols>
  <sheetData>
    <row r="1" spans="1:8" ht="19.5" thickBot="1">
      <c r="A1" s="227" t="s">
        <v>18</v>
      </c>
      <c r="B1" s="227"/>
      <c r="C1" s="227"/>
      <c r="D1" s="227"/>
      <c r="E1" s="227"/>
      <c r="F1" s="227"/>
      <c r="G1" s="227"/>
      <c r="H1" s="227"/>
    </row>
    <row r="2" spans="1:8" ht="15" customHeight="1">
      <c r="A2" s="1" t="s">
        <v>19</v>
      </c>
      <c r="B2" s="228" t="s">
        <v>20</v>
      </c>
      <c r="C2" s="221" t="s">
        <v>21</v>
      </c>
      <c r="D2" s="221" t="s">
        <v>22</v>
      </c>
      <c r="E2" s="221" t="s">
        <v>23</v>
      </c>
      <c r="F2" s="228" t="s">
        <v>24</v>
      </c>
      <c r="G2" s="228" t="s">
        <v>25</v>
      </c>
      <c r="H2" s="228" t="s">
        <v>26</v>
      </c>
    </row>
    <row r="3" spans="1:8" ht="15.75" thickBot="1">
      <c r="A3" s="86" t="s">
        <v>27</v>
      </c>
      <c r="B3" s="222"/>
      <c r="C3" s="222"/>
      <c r="D3" s="222"/>
      <c r="E3" s="222"/>
      <c r="F3" s="232"/>
      <c r="G3" s="232"/>
      <c r="H3" s="232"/>
    </row>
    <row r="4" spans="1:8" ht="15.75" thickBot="1">
      <c r="A4" s="85">
        <v>128</v>
      </c>
      <c r="B4" s="9"/>
      <c r="C4" s="64" t="s">
        <v>38</v>
      </c>
      <c r="D4" s="9">
        <v>1</v>
      </c>
      <c r="E4" s="9" t="s">
        <v>34</v>
      </c>
      <c r="F4" s="220" t="s">
        <v>39</v>
      </c>
      <c r="G4" s="98" t="s">
        <v>29</v>
      </c>
      <c r="H4" s="203" t="s">
        <v>30</v>
      </c>
    </row>
    <row r="5" spans="1:8" ht="156.75" thickBot="1">
      <c r="A5" s="90">
        <v>129</v>
      </c>
      <c r="B5" s="28"/>
      <c r="C5" s="63" t="s">
        <v>40</v>
      </c>
      <c r="D5" s="28">
        <v>2</v>
      </c>
      <c r="E5" s="28" t="s">
        <v>7</v>
      </c>
      <c r="F5" s="66" t="s">
        <v>41</v>
      </c>
      <c r="G5" s="99" t="s">
        <v>29</v>
      </c>
      <c r="H5" s="27" t="s">
        <v>30</v>
      </c>
    </row>
    <row r="6" spans="1:8" ht="15.75" thickBot="1">
      <c r="A6" s="91">
        <v>130</v>
      </c>
      <c r="B6" s="3"/>
      <c r="C6" s="10" t="s">
        <v>42</v>
      </c>
      <c r="D6" s="3">
        <v>2</v>
      </c>
      <c r="E6" s="28" t="s">
        <v>7</v>
      </c>
      <c r="F6" s="67" t="s">
        <v>43</v>
      </c>
      <c r="G6" s="8" t="s">
        <v>29</v>
      </c>
      <c r="H6" s="25" t="s">
        <v>30</v>
      </c>
    </row>
    <row r="7" spans="1:8" ht="15.75" thickBot="1">
      <c r="A7" s="91">
        <v>131</v>
      </c>
      <c r="B7" s="3"/>
      <c r="C7" s="10" t="s">
        <v>44</v>
      </c>
      <c r="D7" s="3">
        <v>2</v>
      </c>
      <c r="E7" s="28" t="s">
        <v>7</v>
      </c>
      <c r="F7" s="67" t="s">
        <v>45</v>
      </c>
      <c r="G7" s="8" t="s">
        <v>29</v>
      </c>
      <c r="H7" s="25" t="s">
        <v>30</v>
      </c>
    </row>
    <row r="8" spans="1:8" ht="15.75" thickBot="1">
      <c r="A8" s="91">
        <v>132</v>
      </c>
      <c r="B8" s="3"/>
      <c r="C8" s="10" t="s">
        <v>46</v>
      </c>
      <c r="D8" s="3">
        <v>2</v>
      </c>
      <c r="E8" s="28" t="s">
        <v>7</v>
      </c>
      <c r="F8" s="67" t="s">
        <v>47</v>
      </c>
      <c r="G8" s="8" t="s">
        <v>29</v>
      </c>
      <c r="H8" s="25" t="s">
        <v>30</v>
      </c>
    </row>
    <row r="9" spans="1:8" ht="15.75" thickBot="1">
      <c r="A9" s="92">
        <v>133</v>
      </c>
      <c r="B9" s="76"/>
      <c r="C9" s="69" t="s">
        <v>48</v>
      </c>
      <c r="D9" s="65">
        <v>4</v>
      </c>
      <c r="E9" s="65" t="s">
        <v>11</v>
      </c>
      <c r="F9" s="68" t="s">
        <v>49</v>
      </c>
      <c r="G9" s="101" t="s">
        <v>29</v>
      </c>
      <c r="H9" s="22" t="s">
        <v>30</v>
      </c>
    </row>
    <row r="10" spans="1:8" ht="156.75" thickBot="1">
      <c r="A10" s="90">
        <v>135</v>
      </c>
      <c r="B10" s="28"/>
      <c r="C10" s="63" t="s">
        <v>50</v>
      </c>
      <c r="D10" s="28">
        <v>2</v>
      </c>
      <c r="E10" s="28" t="s">
        <v>7</v>
      </c>
      <c r="F10" s="66" t="s">
        <v>41</v>
      </c>
      <c r="G10" s="99" t="s">
        <v>29</v>
      </c>
      <c r="H10" s="27" t="s">
        <v>30</v>
      </c>
    </row>
    <row r="11" spans="1:8" ht="15.75" thickBot="1">
      <c r="A11" s="91">
        <v>136</v>
      </c>
      <c r="B11" s="3"/>
      <c r="C11" s="10" t="s">
        <v>51</v>
      </c>
      <c r="D11" s="3">
        <v>2</v>
      </c>
      <c r="E11" s="28" t="s">
        <v>7</v>
      </c>
      <c r="F11" s="67" t="s">
        <v>43</v>
      </c>
      <c r="G11" s="8" t="s">
        <v>29</v>
      </c>
      <c r="H11" s="25" t="s">
        <v>30</v>
      </c>
    </row>
    <row r="12" spans="1:8" ht="15.75" thickBot="1">
      <c r="A12" s="91">
        <v>137</v>
      </c>
      <c r="B12" s="3"/>
      <c r="C12" s="10" t="s">
        <v>52</v>
      </c>
      <c r="D12" s="3">
        <v>2</v>
      </c>
      <c r="E12" s="28" t="s">
        <v>7</v>
      </c>
      <c r="F12" s="67" t="s">
        <v>45</v>
      </c>
      <c r="G12" s="8" t="s">
        <v>29</v>
      </c>
      <c r="H12" s="25" t="s">
        <v>30</v>
      </c>
    </row>
    <row r="13" spans="1:8" ht="15.75" thickBot="1">
      <c r="A13" s="91">
        <v>138</v>
      </c>
      <c r="B13" s="3"/>
      <c r="C13" s="10" t="s">
        <v>53</v>
      </c>
      <c r="D13" s="3">
        <v>2</v>
      </c>
      <c r="E13" s="28" t="s">
        <v>7</v>
      </c>
      <c r="F13" s="67" t="s">
        <v>47</v>
      </c>
      <c r="G13" s="8" t="s">
        <v>29</v>
      </c>
      <c r="H13" s="25" t="s">
        <v>30</v>
      </c>
    </row>
    <row r="14" spans="1:8" ht="15.75" thickBot="1">
      <c r="A14" s="92">
        <v>139</v>
      </c>
      <c r="B14" s="76"/>
      <c r="C14" s="69" t="s">
        <v>54</v>
      </c>
      <c r="D14" s="65">
        <v>4</v>
      </c>
      <c r="E14" s="65" t="s">
        <v>11</v>
      </c>
      <c r="F14" s="68" t="s">
        <v>49</v>
      </c>
      <c r="G14" s="101" t="s">
        <v>29</v>
      </c>
      <c r="H14" s="22" t="s">
        <v>30</v>
      </c>
    </row>
    <row r="15" spans="1:8" ht="156.75" thickBot="1">
      <c r="A15" s="90">
        <v>141</v>
      </c>
      <c r="B15" s="28"/>
      <c r="C15" s="63" t="s">
        <v>55</v>
      </c>
      <c r="D15" s="28">
        <v>2</v>
      </c>
      <c r="E15" s="28" t="s">
        <v>7</v>
      </c>
      <c r="F15" s="66" t="s">
        <v>41</v>
      </c>
      <c r="G15" s="99" t="s">
        <v>29</v>
      </c>
      <c r="H15" s="27" t="s">
        <v>30</v>
      </c>
    </row>
    <row r="16" spans="1:8" ht="15.75" thickBot="1">
      <c r="A16" s="91">
        <v>142</v>
      </c>
      <c r="B16" s="3"/>
      <c r="C16" s="10" t="s">
        <v>56</v>
      </c>
      <c r="D16" s="3">
        <v>2</v>
      </c>
      <c r="E16" s="28" t="s">
        <v>7</v>
      </c>
      <c r="F16" s="67" t="s">
        <v>43</v>
      </c>
      <c r="G16" s="8" t="s">
        <v>29</v>
      </c>
      <c r="H16" s="25" t="s">
        <v>30</v>
      </c>
    </row>
    <row r="17" spans="1:8" ht="15.75" thickBot="1">
      <c r="A17" s="91">
        <v>143</v>
      </c>
      <c r="B17" s="3"/>
      <c r="C17" s="10" t="s">
        <v>57</v>
      </c>
      <c r="D17" s="3">
        <v>2</v>
      </c>
      <c r="E17" s="28" t="s">
        <v>7</v>
      </c>
      <c r="F17" s="67" t="s">
        <v>45</v>
      </c>
      <c r="G17" s="8" t="s">
        <v>29</v>
      </c>
      <c r="H17" s="25" t="s">
        <v>30</v>
      </c>
    </row>
    <row r="18" spans="1:8" ht="15.75" thickBot="1">
      <c r="A18" s="91">
        <v>144</v>
      </c>
      <c r="B18" s="3"/>
      <c r="C18" s="10" t="s">
        <v>58</v>
      </c>
      <c r="D18" s="3">
        <v>2</v>
      </c>
      <c r="E18" s="28" t="s">
        <v>7</v>
      </c>
      <c r="F18" s="67" t="s">
        <v>47</v>
      </c>
      <c r="G18" s="8" t="s">
        <v>29</v>
      </c>
      <c r="H18" s="25" t="s">
        <v>30</v>
      </c>
    </row>
    <row r="19" spans="1:8" ht="15.75" thickBot="1">
      <c r="A19" s="92">
        <v>145</v>
      </c>
      <c r="B19" s="76"/>
      <c r="C19" s="69" t="s">
        <v>59</v>
      </c>
      <c r="D19" s="65">
        <v>4</v>
      </c>
      <c r="E19" s="65" t="s">
        <v>11</v>
      </c>
      <c r="F19" s="68" t="s">
        <v>49</v>
      </c>
      <c r="G19" s="101" t="s">
        <v>29</v>
      </c>
      <c r="H19" s="22" t="s">
        <v>30</v>
      </c>
    </row>
    <row r="20" spans="1:8" ht="156.75" thickBot="1">
      <c r="A20" s="90">
        <v>147</v>
      </c>
      <c r="B20" s="28"/>
      <c r="C20" s="63" t="s">
        <v>60</v>
      </c>
      <c r="D20" s="28">
        <v>2</v>
      </c>
      <c r="E20" s="28" t="s">
        <v>7</v>
      </c>
      <c r="F20" s="66" t="s">
        <v>41</v>
      </c>
      <c r="G20" s="99" t="s">
        <v>29</v>
      </c>
      <c r="H20" s="27" t="s">
        <v>30</v>
      </c>
    </row>
    <row r="21" spans="1:8" ht="15.75" thickBot="1">
      <c r="A21" s="91">
        <v>148</v>
      </c>
      <c r="B21" s="3"/>
      <c r="C21" s="10" t="s">
        <v>61</v>
      </c>
      <c r="D21" s="3">
        <v>2</v>
      </c>
      <c r="E21" s="28" t="s">
        <v>7</v>
      </c>
      <c r="F21" s="67" t="s">
        <v>43</v>
      </c>
      <c r="G21" s="8" t="s">
        <v>29</v>
      </c>
      <c r="H21" s="25" t="s">
        <v>30</v>
      </c>
    </row>
    <row r="22" spans="1:8" ht="15.75" thickBot="1">
      <c r="A22" s="91">
        <v>149</v>
      </c>
      <c r="B22" s="3"/>
      <c r="C22" s="10" t="s">
        <v>62</v>
      </c>
      <c r="D22" s="3">
        <v>2</v>
      </c>
      <c r="E22" s="28" t="s">
        <v>7</v>
      </c>
      <c r="F22" s="67" t="s">
        <v>45</v>
      </c>
      <c r="G22" s="8" t="s">
        <v>29</v>
      </c>
      <c r="H22" s="25" t="s">
        <v>30</v>
      </c>
    </row>
    <row r="23" spans="1:8" ht="15.75" thickBot="1">
      <c r="A23" s="91">
        <v>150</v>
      </c>
      <c r="B23" s="3"/>
      <c r="C23" s="10" t="s">
        <v>63</v>
      </c>
      <c r="D23" s="3">
        <v>2</v>
      </c>
      <c r="E23" s="28" t="s">
        <v>7</v>
      </c>
      <c r="F23" s="67" t="s">
        <v>47</v>
      </c>
      <c r="G23" s="8" t="s">
        <v>29</v>
      </c>
      <c r="H23" s="25" t="s">
        <v>30</v>
      </c>
    </row>
    <row r="24" spans="1:8" ht="15.75" thickBot="1">
      <c r="A24" s="92">
        <v>151</v>
      </c>
      <c r="B24" s="76"/>
      <c r="C24" s="69" t="s">
        <v>64</v>
      </c>
      <c r="D24" s="65">
        <v>4</v>
      </c>
      <c r="E24" s="65" t="s">
        <v>11</v>
      </c>
      <c r="F24" s="68" t="s">
        <v>49</v>
      </c>
      <c r="G24" s="101" t="s">
        <v>29</v>
      </c>
      <c r="H24" s="22" t="s">
        <v>30</v>
      </c>
    </row>
    <row r="25" spans="1:8" ht="156.75" thickBot="1">
      <c r="A25" s="90">
        <v>153</v>
      </c>
      <c r="B25" s="28"/>
      <c r="C25" s="63" t="s">
        <v>65</v>
      </c>
      <c r="D25" s="28">
        <v>2</v>
      </c>
      <c r="E25" s="28" t="s">
        <v>7</v>
      </c>
      <c r="F25" s="66" t="s">
        <v>66</v>
      </c>
      <c r="G25" s="99" t="s">
        <v>29</v>
      </c>
      <c r="H25" s="27" t="s">
        <v>30</v>
      </c>
    </row>
    <row r="26" spans="1:8" ht="15.75" thickBot="1">
      <c r="A26" s="91">
        <v>154</v>
      </c>
      <c r="B26" s="3"/>
      <c r="C26" s="10" t="s">
        <v>67</v>
      </c>
      <c r="D26" s="3">
        <v>2</v>
      </c>
      <c r="E26" s="28" t="s">
        <v>7</v>
      </c>
      <c r="F26" s="67" t="s">
        <v>43</v>
      </c>
      <c r="G26" s="8" t="s">
        <v>29</v>
      </c>
      <c r="H26" s="25" t="s">
        <v>30</v>
      </c>
    </row>
    <row r="27" spans="1:8" ht="15.75" thickBot="1">
      <c r="A27" s="91">
        <v>155</v>
      </c>
      <c r="B27" s="3"/>
      <c r="C27" s="10" t="s">
        <v>68</v>
      </c>
      <c r="D27" s="3">
        <v>2</v>
      </c>
      <c r="E27" s="28" t="s">
        <v>7</v>
      </c>
      <c r="F27" s="67" t="s">
        <v>45</v>
      </c>
      <c r="G27" s="8" t="s">
        <v>29</v>
      </c>
      <c r="H27" s="25" t="s">
        <v>30</v>
      </c>
    </row>
    <row r="28" spans="1:8" ht="15.75" thickBot="1">
      <c r="A28" s="91">
        <v>156</v>
      </c>
      <c r="B28" s="3"/>
      <c r="C28" s="10" t="s">
        <v>69</v>
      </c>
      <c r="D28" s="3">
        <v>2</v>
      </c>
      <c r="E28" s="28" t="s">
        <v>7</v>
      </c>
      <c r="F28" s="67" t="s">
        <v>47</v>
      </c>
      <c r="G28" s="8" t="s">
        <v>29</v>
      </c>
      <c r="H28" s="25" t="s">
        <v>30</v>
      </c>
    </row>
    <row r="29" spans="1:8" ht="15.75" thickBot="1">
      <c r="A29" s="92">
        <v>157</v>
      </c>
      <c r="B29" s="76"/>
      <c r="C29" s="69" t="s">
        <v>70</v>
      </c>
      <c r="D29" s="65">
        <v>5</v>
      </c>
      <c r="E29" s="65" t="s">
        <v>11</v>
      </c>
      <c r="F29" s="68" t="s">
        <v>49</v>
      </c>
      <c r="G29" s="101" t="s">
        <v>29</v>
      </c>
      <c r="H29" s="22" t="s">
        <v>30</v>
      </c>
    </row>
    <row r="30" spans="1:8" ht="156.75" thickBot="1">
      <c r="A30" s="90">
        <v>159</v>
      </c>
      <c r="B30" s="28"/>
      <c r="C30" s="63" t="s">
        <v>71</v>
      </c>
      <c r="D30" s="28">
        <v>2</v>
      </c>
      <c r="E30" s="28" t="s">
        <v>7</v>
      </c>
      <c r="F30" s="66" t="s">
        <v>66</v>
      </c>
      <c r="G30" s="99" t="s">
        <v>29</v>
      </c>
      <c r="H30" s="27" t="s">
        <v>30</v>
      </c>
    </row>
    <row r="31" spans="1:8" ht="15.75" thickBot="1">
      <c r="A31" s="91">
        <v>160</v>
      </c>
      <c r="B31" s="3"/>
      <c r="C31" s="10" t="s">
        <v>72</v>
      </c>
      <c r="D31" s="3">
        <v>2</v>
      </c>
      <c r="E31" s="28" t="s">
        <v>7</v>
      </c>
      <c r="F31" s="67" t="s">
        <v>43</v>
      </c>
      <c r="G31" s="8" t="s">
        <v>29</v>
      </c>
      <c r="H31" s="25" t="s">
        <v>30</v>
      </c>
    </row>
    <row r="32" spans="1:8" ht="15.75" thickBot="1">
      <c r="A32" s="91">
        <v>161</v>
      </c>
      <c r="B32" s="3"/>
      <c r="C32" s="10" t="s">
        <v>73</v>
      </c>
      <c r="D32" s="3">
        <v>2</v>
      </c>
      <c r="E32" s="28" t="s">
        <v>7</v>
      </c>
      <c r="F32" s="67" t="s">
        <v>45</v>
      </c>
      <c r="G32" s="8" t="s">
        <v>29</v>
      </c>
      <c r="H32" s="25" t="s">
        <v>30</v>
      </c>
    </row>
    <row r="33" spans="1:8" ht="15.75" thickBot="1">
      <c r="A33" s="91">
        <v>162</v>
      </c>
      <c r="B33" s="3"/>
      <c r="C33" s="10" t="s">
        <v>74</v>
      </c>
      <c r="D33" s="3">
        <v>2</v>
      </c>
      <c r="E33" s="28" t="s">
        <v>7</v>
      </c>
      <c r="F33" s="67" t="s">
        <v>47</v>
      </c>
      <c r="G33" s="8" t="s">
        <v>29</v>
      </c>
      <c r="H33" s="25" t="s">
        <v>30</v>
      </c>
    </row>
    <row r="34" spans="1:8" ht="15.75" thickBot="1">
      <c r="A34" s="92">
        <v>163</v>
      </c>
      <c r="B34" s="76"/>
      <c r="C34" s="69" t="s">
        <v>75</v>
      </c>
      <c r="D34" s="65">
        <v>5</v>
      </c>
      <c r="E34" s="65" t="s">
        <v>11</v>
      </c>
      <c r="F34" s="68" t="s">
        <v>49</v>
      </c>
      <c r="G34" s="101" t="s">
        <v>29</v>
      </c>
      <c r="H34" s="22" t="s">
        <v>30</v>
      </c>
    </row>
    <row r="35" spans="1:8" ht="156.75" thickBot="1">
      <c r="A35" s="90">
        <v>165</v>
      </c>
      <c r="B35" s="28"/>
      <c r="C35" s="63" t="s">
        <v>76</v>
      </c>
      <c r="D35" s="28">
        <v>2</v>
      </c>
      <c r="E35" s="28" t="s">
        <v>7</v>
      </c>
      <c r="F35" s="66" t="s">
        <v>66</v>
      </c>
      <c r="G35" s="99" t="s">
        <v>29</v>
      </c>
      <c r="H35" s="27" t="s">
        <v>30</v>
      </c>
    </row>
    <row r="36" spans="1:8" ht="15.75" thickBot="1">
      <c r="A36" s="91">
        <v>166</v>
      </c>
      <c r="B36" s="3"/>
      <c r="C36" s="10" t="s">
        <v>77</v>
      </c>
      <c r="D36" s="3">
        <v>2</v>
      </c>
      <c r="E36" s="28" t="s">
        <v>7</v>
      </c>
      <c r="F36" s="67" t="s">
        <v>43</v>
      </c>
      <c r="G36" s="8" t="s">
        <v>29</v>
      </c>
      <c r="H36" s="25" t="s">
        <v>30</v>
      </c>
    </row>
    <row r="37" spans="1:8" ht="15.75" thickBot="1">
      <c r="A37" s="91">
        <v>167</v>
      </c>
      <c r="B37" s="3"/>
      <c r="C37" s="10" t="s">
        <v>78</v>
      </c>
      <c r="D37" s="3">
        <v>2</v>
      </c>
      <c r="E37" s="28" t="s">
        <v>7</v>
      </c>
      <c r="F37" s="67" t="s">
        <v>45</v>
      </c>
      <c r="G37" s="8" t="s">
        <v>29</v>
      </c>
      <c r="H37" s="25" t="s">
        <v>30</v>
      </c>
    </row>
    <row r="38" spans="1:8" ht="15.75" thickBot="1">
      <c r="A38" s="91">
        <v>168</v>
      </c>
      <c r="B38" s="3"/>
      <c r="C38" s="10" t="s">
        <v>79</v>
      </c>
      <c r="D38" s="3">
        <v>2</v>
      </c>
      <c r="E38" s="28" t="s">
        <v>7</v>
      </c>
      <c r="F38" s="67" t="s">
        <v>47</v>
      </c>
      <c r="G38" s="8" t="s">
        <v>29</v>
      </c>
      <c r="H38" s="25" t="s">
        <v>30</v>
      </c>
    </row>
    <row r="39" spans="1:8" ht="15.75" thickBot="1">
      <c r="A39" s="92">
        <v>169</v>
      </c>
      <c r="B39" s="76"/>
      <c r="C39" s="69" t="s">
        <v>80</v>
      </c>
      <c r="D39" s="65">
        <v>5</v>
      </c>
      <c r="E39" s="65" t="s">
        <v>11</v>
      </c>
      <c r="F39" s="68" t="s">
        <v>49</v>
      </c>
      <c r="G39" s="101" t="s">
        <v>29</v>
      </c>
      <c r="H39" s="22" t="s">
        <v>30</v>
      </c>
    </row>
    <row r="40" spans="1:8" ht="156.75" thickBot="1">
      <c r="A40" s="90">
        <v>171</v>
      </c>
      <c r="B40" s="28"/>
      <c r="C40" s="63" t="s">
        <v>81</v>
      </c>
      <c r="D40" s="28">
        <v>2</v>
      </c>
      <c r="E40" s="28" t="s">
        <v>7</v>
      </c>
      <c r="F40" s="66" t="s">
        <v>66</v>
      </c>
      <c r="G40" s="99" t="s">
        <v>29</v>
      </c>
      <c r="H40" s="27" t="s">
        <v>30</v>
      </c>
    </row>
    <row r="41" spans="1:8" ht="15.75" thickBot="1">
      <c r="A41" s="91">
        <v>172</v>
      </c>
      <c r="B41" s="3"/>
      <c r="C41" s="10" t="s">
        <v>82</v>
      </c>
      <c r="D41" s="3">
        <v>2</v>
      </c>
      <c r="E41" s="28" t="s">
        <v>7</v>
      </c>
      <c r="F41" s="67" t="s">
        <v>43</v>
      </c>
      <c r="G41" s="8" t="s">
        <v>29</v>
      </c>
      <c r="H41" s="25" t="s">
        <v>30</v>
      </c>
    </row>
    <row r="42" spans="1:8" ht="15.75" thickBot="1">
      <c r="A42" s="91">
        <v>173</v>
      </c>
      <c r="B42" s="3"/>
      <c r="C42" s="10" t="s">
        <v>83</v>
      </c>
      <c r="D42" s="3">
        <v>2</v>
      </c>
      <c r="E42" s="28" t="s">
        <v>7</v>
      </c>
      <c r="F42" s="67" t="s">
        <v>45</v>
      </c>
      <c r="G42" s="8" t="s">
        <v>29</v>
      </c>
      <c r="H42" s="25" t="s">
        <v>30</v>
      </c>
    </row>
    <row r="43" spans="1:8" ht="15.75" thickBot="1">
      <c r="A43" s="91">
        <v>174</v>
      </c>
      <c r="B43" s="3"/>
      <c r="C43" s="10" t="s">
        <v>84</v>
      </c>
      <c r="D43" s="3">
        <v>2</v>
      </c>
      <c r="E43" s="28" t="s">
        <v>7</v>
      </c>
      <c r="F43" s="67" t="s">
        <v>47</v>
      </c>
      <c r="G43" s="8" t="s">
        <v>29</v>
      </c>
      <c r="H43" s="25" t="s">
        <v>30</v>
      </c>
    </row>
    <row r="44" spans="1:8" ht="15.75" thickBot="1">
      <c r="A44" s="92">
        <v>175</v>
      </c>
      <c r="B44" s="76"/>
      <c r="C44" s="69" t="s">
        <v>85</v>
      </c>
      <c r="D44" s="65">
        <v>5</v>
      </c>
      <c r="E44" s="65" t="s">
        <v>11</v>
      </c>
      <c r="F44" s="68" t="s">
        <v>49</v>
      </c>
      <c r="G44" s="101" t="s">
        <v>29</v>
      </c>
      <c r="H44" s="22" t="s">
        <v>30</v>
      </c>
    </row>
    <row r="45" spans="1:8" ht="156.75" thickBot="1">
      <c r="A45" s="90">
        <v>177</v>
      </c>
      <c r="B45" s="28"/>
      <c r="C45" s="63" t="s">
        <v>86</v>
      </c>
      <c r="D45" s="28">
        <v>2</v>
      </c>
      <c r="E45" s="28" t="s">
        <v>7</v>
      </c>
      <c r="F45" s="66" t="s">
        <v>66</v>
      </c>
      <c r="G45" s="99" t="s">
        <v>29</v>
      </c>
      <c r="H45" s="27" t="s">
        <v>30</v>
      </c>
    </row>
    <row r="46" spans="1:8" ht="15.75" thickBot="1">
      <c r="A46" s="91">
        <v>178</v>
      </c>
      <c r="B46" s="3"/>
      <c r="C46" s="10" t="s">
        <v>87</v>
      </c>
      <c r="D46" s="3">
        <v>2</v>
      </c>
      <c r="E46" s="28" t="s">
        <v>7</v>
      </c>
      <c r="F46" s="67" t="s">
        <v>43</v>
      </c>
      <c r="G46" s="8" t="s">
        <v>29</v>
      </c>
      <c r="H46" s="25" t="s">
        <v>30</v>
      </c>
    </row>
    <row r="47" spans="1:8" ht="15.75" thickBot="1">
      <c r="A47" s="91">
        <v>179</v>
      </c>
      <c r="B47" s="3"/>
      <c r="C47" s="10" t="s">
        <v>88</v>
      </c>
      <c r="D47" s="3">
        <v>2</v>
      </c>
      <c r="E47" s="28" t="s">
        <v>7</v>
      </c>
      <c r="F47" s="67" t="s">
        <v>45</v>
      </c>
      <c r="G47" s="8" t="s">
        <v>29</v>
      </c>
      <c r="H47" s="25" t="s">
        <v>30</v>
      </c>
    </row>
    <row r="48" spans="1:8" ht="15.75" thickBot="1">
      <c r="A48" s="91">
        <v>180</v>
      </c>
      <c r="B48" s="3"/>
      <c r="C48" s="10" t="s">
        <v>89</v>
      </c>
      <c r="D48" s="3">
        <v>2</v>
      </c>
      <c r="E48" s="28" t="s">
        <v>7</v>
      </c>
      <c r="F48" s="67" t="s">
        <v>47</v>
      </c>
      <c r="G48" s="8" t="s">
        <v>29</v>
      </c>
      <c r="H48" s="25" t="s">
        <v>30</v>
      </c>
    </row>
    <row r="49" spans="1:8" ht="15.75" thickBot="1">
      <c r="A49" s="92">
        <v>181</v>
      </c>
      <c r="B49" s="76"/>
      <c r="C49" s="69" t="s">
        <v>90</v>
      </c>
      <c r="D49" s="65">
        <v>5</v>
      </c>
      <c r="E49" s="65" t="s">
        <v>11</v>
      </c>
      <c r="F49" s="68" t="s">
        <v>49</v>
      </c>
      <c r="G49" s="101" t="s">
        <v>29</v>
      </c>
      <c r="H49" s="22" t="s">
        <v>30</v>
      </c>
    </row>
    <row r="50" spans="1:8" ht="156.75" thickBot="1">
      <c r="A50" s="90">
        <v>183</v>
      </c>
      <c r="B50" s="28"/>
      <c r="C50" s="63" t="s">
        <v>86</v>
      </c>
      <c r="D50" s="28">
        <v>2</v>
      </c>
      <c r="E50" s="28" t="s">
        <v>7</v>
      </c>
      <c r="F50" s="66" t="s">
        <v>66</v>
      </c>
      <c r="G50" s="99" t="s">
        <v>29</v>
      </c>
      <c r="H50" s="27" t="s">
        <v>30</v>
      </c>
    </row>
    <row r="51" spans="1:8" ht="15.75" thickBot="1">
      <c r="A51" s="91">
        <v>184</v>
      </c>
      <c r="B51" s="3"/>
      <c r="C51" s="10" t="s">
        <v>87</v>
      </c>
      <c r="D51" s="3">
        <v>2</v>
      </c>
      <c r="E51" s="28" t="s">
        <v>7</v>
      </c>
      <c r="F51" s="67" t="s">
        <v>43</v>
      </c>
      <c r="G51" s="8" t="s">
        <v>29</v>
      </c>
      <c r="H51" s="25" t="s">
        <v>30</v>
      </c>
    </row>
    <row r="52" spans="1:8" ht="15.75" thickBot="1">
      <c r="A52" s="91">
        <v>185</v>
      </c>
      <c r="B52" s="3"/>
      <c r="C52" s="10" t="s">
        <v>88</v>
      </c>
      <c r="D52" s="3">
        <v>2</v>
      </c>
      <c r="E52" s="28" t="s">
        <v>7</v>
      </c>
      <c r="F52" s="67" t="s">
        <v>45</v>
      </c>
      <c r="G52" s="8" t="s">
        <v>29</v>
      </c>
      <c r="H52" s="25" t="s">
        <v>30</v>
      </c>
    </row>
    <row r="53" spans="1:8" ht="15.75" thickBot="1">
      <c r="A53" s="91">
        <v>186</v>
      </c>
      <c r="B53" s="3"/>
      <c r="C53" s="10" t="s">
        <v>89</v>
      </c>
      <c r="D53" s="3">
        <v>2</v>
      </c>
      <c r="E53" s="28" t="s">
        <v>7</v>
      </c>
      <c r="F53" s="67" t="s">
        <v>47</v>
      </c>
      <c r="G53" s="8" t="s">
        <v>29</v>
      </c>
      <c r="H53" s="25" t="s">
        <v>30</v>
      </c>
    </row>
    <row r="54" spans="1:8" ht="15.75" thickBot="1">
      <c r="A54" s="92">
        <v>187</v>
      </c>
      <c r="B54" s="76"/>
      <c r="C54" s="69" t="s">
        <v>90</v>
      </c>
      <c r="D54" s="65">
        <v>4</v>
      </c>
      <c r="E54" s="65" t="s">
        <v>11</v>
      </c>
      <c r="F54" s="68" t="s">
        <v>49</v>
      </c>
      <c r="G54" s="99" t="s">
        <v>29</v>
      </c>
      <c r="H54" s="22" t="s">
        <v>30</v>
      </c>
    </row>
    <row r="55" spans="1:8" ht="15.75" thickBot="1">
      <c r="A55" s="44">
        <v>189</v>
      </c>
      <c r="B55" s="3"/>
      <c r="C55" s="10" t="s">
        <v>91</v>
      </c>
      <c r="D55" s="3">
        <v>1</v>
      </c>
      <c r="E55" s="28" t="s">
        <v>34</v>
      </c>
      <c r="F55" s="12" t="s">
        <v>92</v>
      </c>
      <c r="G55" s="8" t="s">
        <v>29</v>
      </c>
      <c r="H55" s="238" t="s">
        <v>30</v>
      </c>
    </row>
    <row r="56" spans="1:8" ht="15.75" thickBot="1">
      <c r="A56" s="44">
        <v>190</v>
      </c>
      <c r="B56" s="3"/>
      <c r="C56" s="10" t="s">
        <v>93</v>
      </c>
      <c r="D56" s="3">
        <v>1</v>
      </c>
      <c r="E56" s="28" t="s">
        <v>34</v>
      </c>
      <c r="F56" s="12" t="s">
        <v>94</v>
      </c>
      <c r="G56" s="8" t="s">
        <v>29</v>
      </c>
      <c r="H56" s="230"/>
    </row>
    <row r="57" spans="1:8" ht="15.75" thickBot="1">
      <c r="A57" s="44">
        <v>191</v>
      </c>
      <c r="B57" s="3"/>
      <c r="C57" s="10" t="s">
        <v>95</v>
      </c>
      <c r="D57" s="3">
        <v>1</v>
      </c>
      <c r="E57" s="28" t="s">
        <v>34</v>
      </c>
      <c r="F57" s="12" t="s">
        <v>94</v>
      </c>
      <c r="G57" s="8" t="s">
        <v>29</v>
      </c>
      <c r="H57" s="230"/>
    </row>
    <row r="58" spans="1:8" ht="15.75" thickBot="1">
      <c r="A58" s="44">
        <v>192</v>
      </c>
      <c r="B58" s="3"/>
      <c r="C58" s="10" t="s">
        <v>96</v>
      </c>
      <c r="D58" s="3">
        <v>1</v>
      </c>
      <c r="E58" s="28" t="s">
        <v>34</v>
      </c>
      <c r="F58" s="12" t="s">
        <v>94</v>
      </c>
      <c r="G58" s="8" t="s">
        <v>29</v>
      </c>
      <c r="H58" s="230"/>
    </row>
    <row r="59" spans="1:8" ht="15.75" thickBot="1">
      <c r="A59" s="44">
        <v>193</v>
      </c>
      <c r="B59" s="3"/>
      <c r="C59" s="10" t="s">
        <v>97</v>
      </c>
      <c r="D59" s="3">
        <v>1</v>
      </c>
      <c r="E59" s="28" t="s">
        <v>34</v>
      </c>
      <c r="F59" s="12" t="s">
        <v>94</v>
      </c>
      <c r="G59" s="8" t="s">
        <v>29</v>
      </c>
      <c r="H59" s="230"/>
    </row>
    <row r="60" spans="1:8" ht="15.75" thickBot="1">
      <c r="A60" s="44">
        <v>194</v>
      </c>
      <c r="B60" s="3"/>
      <c r="C60" s="10" t="s">
        <v>98</v>
      </c>
      <c r="D60" s="3">
        <v>1</v>
      </c>
      <c r="E60" s="28" t="s">
        <v>34</v>
      </c>
      <c r="F60" s="12" t="s">
        <v>94</v>
      </c>
      <c r="G60" s="8" t="s">
        <v>29</v>
      </c>
      <c r="H60" s="230"/>
    </row>
    <row r="61" spans="1:8" ht="15.75" thickBot="1">
      <c r="A61" s="44">
        <v>195</v>
      </c>
      <c r="B61" s="3"/>
      <c r="C61" s="10" t="s">
        <v>99</v>
      </c>
      <c r="D61" s="3">
        <v>1</v>
      </c>
      <c r="E61" s="28" t="s">
        <v>34</v>
      </c>
      <c r="F61" s="12" t="s">
        <v>94</v>
      </c>
      <c r="G61" s="8" t="s">
        <v>29</v>
      </c>
      <c r="H61" s="230"/>
    </row>
    <row r="62" spans="1:8" ht="15.75" thickBot="1">
      <c r="A62" s="44">
        <v>196</v>
      </c>
      <c r="B62" s="3"/>
      <c r="C62" s="70" t="s">
        <v>100</v>
      </c>
      <c r="D62" s="3">
        <v>1</v>
      </c>
      <c r="E62" s="28" t="s">
        <v>34</v>
      </c>
      <c r="F62" s="12" t="s">
        <v>94</v>
      </c>
      <c r="G62" s="8" t="s">
        <v>29</v>
      </c>
      <c r="H62" s="230"/>
    </row>
    <row r="63" spans="1:8" ht="29.25" customHeight="1" thickBot="1">
      <c r="A63" s="44">
        <v>197</v>
      </c>
      <c r="B63" s="3"/>
      <c r="C63" s="70" t="s">
        <v>101</v>
      </c>
      <c r="D63" s="3">
        <v>1</v>
      </c>
      <c r="E63" s="28" t="s">
        <v>34</v>
      </c>
      <c r="F63" s="12" t="s">
        <v>102</v>
      </c>
      <c r="G63" s="8" t="s">
        <v>29</v>
      </c>
      <c r="H63" s="230"/>
    </row>
    <row r="64" spans="1:8" ht="40.5" customHeight="1" thickBot="1">
      <c r="A64" s="44">
        <v>198</v>
      </c>
      <c r="B64" s="3"/>
      <c r="C64" s="70" t="s">
        <v>103</v>
      </c>
      <c r="D64" s="3">
        <v>1</v>
      </c>
      <c r="E64" s="28" t="s">
        <v>34</v>
      </c>
      <c r="F64" s="12" t="s">
        <v>104</v>
      </c>
      <c r="G64" s="8" t="s">
        <v>29</v>
      </c>
      <c r="H64" s="231"/>
    </row>
    <row r="65" spans="1:8" ht="15.75" thickBot="1">
      <c r="A65" s="93">
        <v>199</v>
      </c>
      <c r="B65" s="235" t="s">
        <v>105</v>
      </c>
      <c r="C65" s="236"/>
      <c r="D65" s="236"/>
      <c r="E65" s="236"/>
      <c r="F65" s="236"/>
      <c r="G65" s="236"/>
      <c r="H65" s="237"/>
    </row>
    <row r="66" spans="1:8" ht="15.75" thickBot="1">
      <c r="A66" s="44">
        <v>200</v>
      </c>
      <c r="B66" s="3"/>
      <c r="C66" s="71" t="s">
        <v>106</v>
      </c>
      <c r="D66" s="3">
        <v>1</v>
      </c>
      <c r="E66" s="28" t="s">
        <v>34</v>
      </c>
      <c r="F66" s="3"/>
      <c r="G66" s="8" t="s">
        <v>107</v>
      </c>
      <c r="H66" s="25" t="s">
        <v>30</v>
      </c>
    </row>
    <row r="67" spans="1:8" ht="15.75" thickBot="1">
      <c r="C67" s="94"/>
      <c r="D67" s="95"/>
      <c r="E67" s="95"/>
      <c r="F67" s="94"/>
      <c r="G67" s="88"/>
    </row>
    <row r="69" spans="1:8" ht="40.5" customHeight="1"/>
    <row r="70" spans="1:8" ht="30" customHeight="1"/>
    <row r="71" spans="1:8" ht="30" customHeight="1"/>
    <row r="72" spans="1:8" ht="30" customHeight="1"/>
  </sheetData>
  <mergeCells count="10">
    <mergeCell ref="A1:H1"/>
    <mergeCell ref="B65:H65"/>
    <mergeCell ref="G2:G3"/>
    <mergeCell ref="F2:F3"/>
    <mergeCell ref="D2:D3"/>
    <mergeCell ref="B2:B3"/>
    <mergeCell ref="H55:H64"/>
    <mergeCell ref="C2:C3"/>
    <mergeCell ref="E2:E3"/>
    <mergeCell ref="H2:H3"/>
  </mergeCells>
  <printOptions gridLines="1"/>
  <pageMargins left="0.70866141732283472" right="0.70866141732283472" top="0.74803149606299213" bottom="0.74803149606299213" header="0.31496062992125984" footer="0.31496062992125984"/>
  <pageSetup paperSize="8" scale="89" fitToHeight="0" orientation="landscape" r:id="rId1"/>
  <headerFooter>
    <oddHeader>&amp;C&amp;A</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44"/>
  <sheetViews>
    <sheetView topLeftCell="A21" zoomScaleNormal="100" workbookViewId="0">
      <selection activeCell="F7" sqref="F7"/>
    </sheetView>
  </sheetViews>
  <sheetFormatPr defaultColWidth="11.42578125" defaultRowHeight="15"/>
  <cols>
    <col min="1" max="1" width="6.5703125" style="6" bestFit="1" customWidth="1"/>
    <col min="2" max="2" width="10.5703125" style="6" bestFit="1" customWidth="1"/>
    <col min="3" max="3" width="50" style="46" bestFit="1" customWidth="1"/>
    <col min="4" max="4" width="10" style="6" customWidth="1"/>
    <col min="5" max="5" width="11" style="6" bestFit="1" customWidth="1"/>
    <col min="6" max="6" width="28.5703125" style="6" customWidth="1"/>
    <col min="7" max="7" width="5.42578125" style="6" bestFit="1" customWidth="1"/>
    <col min="8" max="8" width="11.85546875" style="21" customWidth="1"/>
  </cols>
  <sheetData>
    <row r="1" spans="1:13" ht="19.5" thickBot="1">
      <c r="A1" s="227" t="s">
        <v>18</v>
      </c>
      <c r="B1" s="227"/>
      <c r="C1" s="227"/>
      <c r="D1" s="227"/>
      <c r="E1" s="227"/>
      <c r="F1" s="227"/>
      <c r="G1" s="227"/>
      <c r="H1" s="227"/>
    </row>
    <row r="2" spans="1:13" ht="15" customHeight="1">
      <c r="A2" s="1" t="s">
        <v>19</v>
      </c>
      <c r="B2" s="228" t="s">
        <v>108</v>
      </c>
      <c r="C2" s="221" t="s">
        <v>21</v>
      </c>
      <c r="D2" s="221" t="s">
        <v>22</v>
      </c>
      <c r="E2" s="221" t="s">
        <v>23</v>
      </c>
      <c r="F2" s="228" t="s">
        <v>24</v>
      </c>
      <c r="G2" s="228" t="s">
        <v>25</v>
      </c>
      <c r="H2" s="228" t="s">
        <v>26</v>
      </c>
    </row>
    <row r="3" spans="1:13" ht="15" customHeight="1" thickBot="1">
      <c r="A3" s="86" t="s">
        <v>27</v>
      </c>
      <c r="B3" s="222"/>
      <c r="C3" s="222"/>
      <c r="D3" s="222"/>
      <c r="E3" s="222"/>
      <c r="F3" s="222"/>
      <c r="G3" s="232"/>
      <c r="H3" s="222"/>
    </row>
    <row r="4" spans="1:13" ht="24.75" thickBot="1">
      <c r="A4" s="44">
        <v>256</v>
      </c>
      <c r="B4" s="44"/>
      <c r="C4" s="51" t="s">
        <v>109</v>
      </c>
      <c r="D4" s="8">
        <v>1</v>
      </c>
      <c r="E4" s="3" t="s">
        <v>34</v>
      </c>
      <c r="F4" s="3" t="s">
        <v>110</v>
      </c>
      <c r="G4" s="3" t="s">
        <v>107</v>
      </c>
      <c r="H4" s="18" t="s">
        <v>30</v>
      </c>
    </row>
    <row r="5" spans="1:13" ht="24.75" thickBot="1">
      <c r="A5" s="44">
        <v>257</v>
      </c>
      <c r="B5" s="44"/>
      <c r="C5" s="182" t="s">
        <v>111</v>
      </c>
      <c r="D5" s="55">
        <v>2</v>
      </c>
      <c r="E5" s="17" t="s">
        <v>7</v>
      </c>
      <c r="F5" s="17" t="s">
        <v>112</v>
      </c>
      <c r="G5" s="17" t="s">
        <v>107</v>
      </c>
      <c r="H5" s="23" t="s">
        <v>30</v>
      </c>
    </row>
    <row r="6" spans="1:13" ht="78" customHeight="1" thickBot="1">
      <c r="A6" s="44">
        <v>258</v>
      </c>
      <c r="B6" s="44"/>
      <c r="C6" s="51" t="s">
        <v>113</v>
      </c>
      <c r="D6" s="8">
        <v>1</v>
      </c>
      <c r="E6" s="3" t="s">
        <v>114</v>
      </c>
      <c r="F6" s="12" t="s">
        <v>115</v>
      </c>
      <c r="G6" s="3" t="s">
        <v>107</v>
      </c>
      <c r="H6" s="18" t="s">
        <v>30</v>
      </c>
    </row>
    <row r="7" spans="1:13" ht="36.75" thickBot="1">
      <c r="A7" s="44">
        <v>259</v>
      </c>
      <c r="B7" s="44"/>
      <c r="C7" s="51" t="s">
        <v>116</v>
      </c>
      <c r="D7" s="8">
        <v>1</v>
      </c>
      <c r="E7" s="3" t="s">
        <v>114</v>
      </c>
      <c r="F7" s="12" t="s">
        <v>117</v>
      </c>
      <c r="G7" s="3" t="s">
        <v>107</v>
      </c>
      <c r="H7" s="18" t="s">
        <v>30</v>
      </c>
    </row>
    <row r="8" spans="1:13" ht="24.75" thickBot="1">
      <c r="A8" s="130">
        <v>260</v>
      </c>
      <c r="B8" s="130"/>
      <c r="C8" s="124" t="s">
        <v>118</v>
      </c>
      <c r="D8" s="125">
        <v>2</v>
      </c>
      <c r="E8" s="123" t="s">
        <v>9</v>
      </c>
      <c r="F8" s="135" t="s">
        <v>112</v>
      </c>
      <c r="G8" s="123" t="s">
        <v>107</v>
      </c>
      <c r="H8" s="118" t="s">
        <v>37</v>
      </c>
    </row>
    <row r="9" spans="1:13" ht="15.75" thickBot="1">
      <c r="A9" s="62" t="s">
        <v>119</v>
      </c>
      <c r="B9" s="243" t="s">
        <v>120</v>
      </c>
      <c r="C9" s="244"/>
      <c r="D9" s="244"/>
      <c r="E9" s="244"/>
      <c r="F9" s="244"/>
      <c r="G9" s="244"/>
      <c r="H9" s="245"/>
    </row>
    <row r="10" spans="1:13" ht="24.75" thickBot="1">
      <c r="A10" s="45">
        <v>272</v>
      </c>
      <c r="B10" s="45"/>
      <c r="C10" s="51" t="s">
        <v>121</v>
      </c>
      <c r="D10" s="42">
        <v>1</v>
      </c>
      <c r="E10" s="3" t="s">
        <v>34</v>
      </c>
      <c r="F10" s="3" t="s">
        <v>110</v>
      </c>
      <c r="G10" s="3" t="s">
        <v>29</v>
      </c>
      <c r="H10" s="20" t="s">
        <v>30</v>
      </c>
    </row>
    <row r="11" spans="1:13" ht="15.75" thickBot="1">
      <c r="A11" s="44">
        <v>273</v>
      </c>
      <c r="B11" s="44"/>
      <c r="C11" s="49" t="s">
        <v>122</v>
      </c>
      <c r="D11" s="42">
        <f t="shared" ref="D11:D15" si="0">IF(E11="DWord",4,2)</f>
        <v>2</v>
      </c>
      <c r="E11" s="17" t="s">
        <v>9</v>
      </c>
      <c r="F11" s="3" t="s">
        <v>112</v>
      </c>
      <c r="G11" s="3" t="s">
        <v>29</v>
      </c>
      <c r="H11" s="18" t="s">
        <v>30</v>
      </c>
    </row>
    <row r="12" spans="1:13" ht="15.75" thickBot="1">
      <c r="A12" s="44">
        <v>274</v>
      </c>
      <c r="B12" s="44"/>
      <c r="C12" s="51" t="s">
        <v>123</v>
      </c>
      <c r="D12" s="42">
        <f t="shared" si="0"/>
        <v>2</v>
      </c>
      <c r="E12" s="17" t="s">
        <v>9</v>
      </c>
      <c r="F12" s="3" t="s">
        <v>112</v>
      </c>
      <c r="G12" s="3" t="s">
        <v>29</v>
      </c>
      <c r="H12" s="18" t="s">
        <v>30</v>
      </c>
    </row>
    <row r="13" spans="1:13" ht="118.5" customHeight="1" thickBot="1">
      <c r="A13" s="47">
        <v>275</v>
      </c>
      <c r="B13" s="47"/>
      <c r="C13" s="52" t="s">
        <v>124</v>
      </c>
      <c r="D13" s="42">
        <v>1</v>
      </c>
      <c r="E13" s="3" t="s">
        <v>34</v>
      </c>
      <c r="F13" s="48" t="s">
        <v>125</v>
      </c>
      <c r="G13" s="3" t="s">
        <v>29</v>
      </c>
      <c r="H13" s="22" t="s">
        <v>30</v>
      </c>
      <c r="L13" s="172"/>
      <c r="M13" s="172"/>
    </row>
    <row r="14" spans="1:13" ht="114" customHeight="1" thickBot="1">
      <c r="A14" s="45">
        <v>276</v>
      </c>
      <c r="B14" s="45"/>
      <c r="C14" s="50" t="s">
        <v>126</v>
      </c>
      <c r="D14" s="42">
        <v>1</v>
      </c>
      <c r="E14" s="3" t="s">
        <v>34</v>
      </c>
      <c r="F14" s="12" t="s">
        <v>127</v>
      </c>
      <c r="G14" s="3" t="s">
        <v>29</v>
      </c>
      <c r="H14" s="25" t="s">
        <v>30</v>
      </c>
      <c r="M14" s="172"/>
    </row>
    <row r="15" spans="1:13" ht="48.75" customHeight="1" thickBot="1">
      <c r="A15" s="44">
        <v>277</v>
      </c>
      <c r="B15" s="44"/>
      <c r="C15" s="49" t="s">
        <v>128</v>
      </c>
      <c r="D15" s="42">
        <f t="shared" si="0"/>
        <v>2</v>
      </c>
      <c r="E15" s="37" t="s">
        <v>7</v>
      </c>
      <c r="F15" s="51" t="s">
        <v>129</v>
      </c>
      <c r="G15" s="3" t="s">
        <v>29</v>
      </c>
      <c r="H15" s="18" t="s">
        <v>30</v>
      </c>
      <c r="L15" s="172"/>
      <c r="M15" s="172"/>
    </row>
    <row r="16" spans="1:13" ht="54" customHeight="1" thickBot="1">
      <c r="A16" s="47">
        <v>278</v>
      </c>
      <c r="B16" s="47"/>
      <c r="C16" s="52" t="s">
        <v>130</v>
      </c>
      <c r="D16" s="42">
        <v>1</v>
      </c>
      <c r="E16" s="37" t="s">
        <v>114</v>
      </c>
      <c r="F16" s="12" t="s">
        <v>131</v>
      </c>
      <c r="G16" s="3" t="s">
        <v>29</v>
      </c>
      <c r="H16" s="22" t="s">
        <v>30</v>
      </c>
      <c r="M16" s="172"/>
    </row>
    <row r="17" spans="1:13" ht="114.75" customHeight="1" thickBot="1">
      <c r="A17" s="47">
        <v>279</v>
      </c>
      <c r="B17" s="47"/>
      <c r="C17" s="53" t="s">
        <v>132</v>
      </c>
      <c r="D17" s="42">
        <v>1</v>
      </c>
      <c r="E17" s="37" t="s">
        <v>34</v>
      </c>
      <c r="F17" s="12" t="s">
        <v>133</v>
      </c>
      <c r="G17" s="3" t="s">
        <v>29</v>
      </c>
      <c r="H17" s="22" t="s">
        <v>30</v>
      </c>
      <c r="L17" s="172"/>
    </row>
    <row r="18" spans="1:13" ht="96" customHeight="1" thickBot="1">
      <c r="A18" s="47">
        <v>280</v>
      </c>
      <c r="B18" s="45"/>
      <c r="C18" s="53" t="s">
        <v>134</v>
      </c>
      <c r="D18" s="42">
        <v>1</v>
      </c>
      <c r="E18" s="37" t="s">
        <v>34</v>
      </c>
      <c r="F18" s="7" t="s">
        <v>135</v>
      </c>
      <c r="G18" s="3" t="s">
        <v>29</v>
      </c>
      <c r="H18" s="22" t="s">
        <v>30</v>
      </c>
      <c r="M18" s="172"/>
    </row>
    <row r="19" spans="1:13" ht="17.25" thickBot="1">
      <c r="A19" s="47" t="s">
        <v>136</v>
      </c>
      <c r="B19" s="243" t="s">
        <v>120</v>
      </c>
      <c r="C19" s="244"/>
      <c r="D19" s="244"/>
      <c r="E19" s="244"/>
      <c r="F19" s="244"/>
      <c r="G19" s="244"/>
      <c r="H19" s="245"/>
      <c r="L19" s="172"/>
    </row>
    <row r="20" spans="1:13" ht="16.5">
      <c r="A20" s="256">
        <v>288</v>
      </c>
      <c r="B20" s="254" t="s">
        <v>137</v>
      </c>
      <c r="C20" s="241" t="s">
        <v>138</v>
      </c>
      <c r="D20" s="239">
        <v>4</v>
      </c>
      <c r="E20" s="240" t="s">
        <v>11</v>
      </c>
      <c r="F20" s="240" t="s">
        <v>49</v>
      </c>
      <c r="G20" s="240" t="s">
        <v>29</v>
      </c>
      <c r="H20" s="242" t="s">
        <v>30</v>
      </c>
      <c r="M20" s="172"/>
    </row>
    <row r="21" spans="1:13" ht="15.75" thickBot="1">
      <c r="A21" s="257"/>
      <c r="B21" s="255"/>
      <c r="C21" s="234"/>
      <c r="D21" s="224"/>
      <c r="E21" s="226"/>
      <c r="F21" s="226"/>
      <c r="G21" s="226"/>
      <c r="H21" s="231"/>
    </row>
    <row r="22" spans="1:13" ht="16.5">
      <c r="A22" s="256">
        <v>290</v>
      </c>
      <c r="B22" s="254" t="s">
        <v>139</v>
      </c>
      <c r="C22" s="241" t="s">
        <v>140</v>
      </c>
      <c r="D22" s="239">
        <v>4</v>
      </c>
      <c r="E22" s="240" t="s">
        <v>11</v>
      </c>
      <c r="F22" s="240" t="s">
        <v>141</v>
      </c>
      <c r="G22" s="240" t="s">
        <v>29</v>
      </c>
      <c r="H22" s="242" t="s">
        <v>30</v>
      </c>
      <c r="M22" s="172"/>
    </row>
    <row r="23" spans="1:13" ht="15.75" thickBot="1">
      <c r="A23" s="257"/>
      <c r="B23" s="255"/>
      <c r="C23" s="234"/>
      <c r="D23" s="224"/>
      <c r="E23" s="226"/>
      <c r="F23" s="226"/>
      <c r="G23" s="226"/>
      <c r="H23" s="231"/>
    </row>
    <row r="24" spans="1:13" ht="17.25" thickBot="1">
      <c r="A24" s="93">
        <v>292</v>
      </c>
      <c r="B24" s="17" t="s">
        <v>142</v>
      </c>
      <c r="C24" s="49" t="s">
        <v>143</v>
      </c>
      <c r="D24" s="8">
        <v>2</v>
      </c>
      <c r="E24" s="3" t="s">
        <v>7</v>
      </c>
      <c r="F24" s="3" t="s">
        <v>144</v>
      </c>
      <c r="G24" s="3" t="s">
        <v>29</v>
      </c>
      <c r="H24" s="18" t="s">
        <v>30</v>
      </c>
      <c r="M24" s="172"/>
    </row>
    <row r="25" spans="1:13">
      <c r="A25" s="256">
        <v>293</v>
      </c>
      <c r="B25" s="254" t="s">
        <v>145</v>
      </c>
      <c r="C25" s="241" t="s">
        <v>146</v>
      </c>
      <c r="D25" s="239">
        <v>4</v>
      </c>
      <c r="E25" s="240" t="s">
        <v>11</v>
      </c>
      <c r="F25" s="240" t="s">
        <v>49</v>
      </c>
      <c r="G25" s="240" t="s">
        <v>29</v>
      </c>
      <c r="H25" s="242" t="s">
        <v>30</v>
      </c>
    </row>
    <row r="26" spans="1:13" ht="15.75" thickBot="1">
      <c r="A26" s="257"/>
      <c r="B26" s="255"/>
      <c r="C26" s="234"/>
      <c r="D26" s="224"/>
      <c r="E26" s="226"/>
      <c r="F26" s="226"/>
      <c r="G26" s="226"/>
      <c r="H26" s="231"/>
    </row>
    <row r="27" spans="1:13">
      <c r="A27" s="256">
        <v>295</v>
      </c>
      <c r="B27" s="254" t="s">
        <v>147</v>
      </c>
      <c r="C27" s="241" t="s">
        <v>148</v>
      </c>
      <c r="D27" s="239">
        <v>4</v>
      </c>
      <c r="E27" s="240" t="s">
        <v>11</v>
      </c>
      <c r="F27" s="240" t="s">
        <v>49</v>
      </c>
      <c r="G27" s="240" t="s">
        <v>29</v>
      </c>
      <c r="H27" s="242" t="s">
        <v>30</v>
      </c>
    </row>
    <row r="28" spans="1:13" ht="15.75" thickBot="1">
      <c r="A28" s="257"/>
      <c r="B28" s="255"/>
      <c r="C28" s="234"/>
      <c r="D28" s="224"/>
      <c r="E28" s="226"/>
      <c r="F28" s="226"/>
      <c r="G28" s="226"/>
      <c r="H28" s="231"/>
    </row>
    <row r="29" spans="1:13">
      <c r="A29" s="256">
        <v>297</v>
      </c>
      <c r="B29" s="254" t="s">
        <v>149</v>
      </c>
      <c r="C29" s="241" t="s">
        <v>150</v>
      </c>
      <c r="D29" s="239">
        <v>4</v>
      </c>
      <c r="E29" s="240" t="s">
        <v>11</v>
      </c>
      <c r="F29" s="240" t="s">
        <v>49</v>
      </c>
      <c r="G29" s="240" t="s">
        <v>29</v>
      </c>
      <c r="H29" s="242" t="s">
        <v>30</v>
      </c>
    </row>
    <row r="30" spans="1:13" ht="15.75" thickBot="1">
      <c r="A30" s="257"/>
      <c r="B30" s="255"/>
      <c r="C30" s="234"/>
      <c r="D30" s="224"/>
      <c r="E30" s="226"/>
      <c r="F30" s="226"/>
      <c r="G30" s="226"/>
      <c r="H30" s="231"/>
    </row>
    <row r="31" spans="1:13">
      <c r="A31" s="256">
        <v>299</v>
      </c>
      <c r="B31" s="254" t="s">
        <v>151</v>
      </c>
      <c r="C31" s="241" t="s">
        <v>152</v>
      </c>
      <c r="D31" s="239">
        <v>4</v>
      </c>
      <c r="E31" s="240" t="s">
        <v>11</v>
      </c>
      <c r="F31" s="240" t="s">
        <v>49</v>
      </c>
      <c r="G31" s="240" t="s">
        <v>29</v>
      </c>
      <c r="H31" s="242" t="s">
        <v>30</v>
      </c>
    </row>
    <row r="32" spans="1:13" ht="15.75" thickBot="1">
      <c r="A32" s="257"/>
      <c r="B32" s="255"/>
      <c r="C32" s="234"/>
      <c r="D32" s="224"/>
      <c r="E32" s="226"/>
      <c r="F32" s="226"/>
      <c r="G32" s="226"/>
      <c r="H32" s="231"/>
    </row>
    <row r="33" spans="1:8">
      <c r="A33" s="256">
        <v>301</v>
      </c>
      <c r="B33" s="254" t="s">
        <v>153</v>
      </c>
      <c r="C33" s="241" t="s">
        <v>154</v>
      </c>
      <c r="D33" s="239">
        <v>4</v>
      </c>
      <c r="E33" s="240" t="s">
        <v>11</v>
      </c>
      <c r="F33" s="240" t="s">
        <v>141</v>
      </c>
      <c r="G33" s="240" t="s">
        <v>29</v>
      </c>
      <c r="H33" s="242" t="s">
        <v>30</v>
      </c>
    </row>
    <row r="34" spans="1:8" ht="15.75" thickBot="1">
      <c r="A34" s="257"/>
      <c r="B34" s="255"/>
      <c r="C34" s="234"/>
      <c r="D34" s="224"/>
      <c r="E34" s="226"/>
      <c r="F34" s="226"/>
      <c r="G34" s="226"/>
      <c r="H34" s="231"/>
    </row>
    <row r="35" spans="1:8">
      <c r="A35" s="256">
        <v>303</v>
      </c>
      <c r="B35" s="254" t="s">
        <v>155</v>
      </c>
      <c r="C35" s="241" t="s">
        <v>156</v>
      </c>
      <c r="D35" s="239">
        <v>4</v>
      </c>
      <c r="E35" s="240" t="s">
        <v>11</v>
      </c>
      <c r="F35" s="240" t="s">
        <v>141</v>
      </c>
      <c r="G35" s="240" t="s">
        <v>29</v>
      </c>
      <c r="H35" s="242" t="s">
        <v>30</v>
      </c>
    </row>
    <row r="36" spans="1:8" ht="15.75" thickBot="1">
      <c r="A36" s="257"/>
      <c r="B36" s="255"/>
      <c r="C36" s="234"/>
      <c r="D36" s="224"/>
      <c r="E36" s="226"/>
      <c r="F36" s="226"/>
      <c r="G36" s="226"/>
      <c r="H36" s="231"/>
    </row>
    <row r="37" spans="1:8" ht="15.75" thickBot="1">
      <c r="A37" s="62" t="s">
        <v>157</v>
      </c>
      <c r="B37" s="183"/>
      <c r="C37" s="183"/>
      <c r="D37" s="183"/>
      <c r="E37" s="180"/>
      <c r="F37" s="183"/>
      <c r="G37" s="183"/>
      <c r="H37" s="181"/>
    </row>
    <row r="38" spans="1:8" ht="15.75" thickBot="1">
      <c r="A38" s="130">
        <v>340</v>
      </c>
      <c r="B38" s="130"/>
      <c r="C38" s="124" t="s">
        <v>158</v>
      </c>
      <c r="D38" s="125">
        <v>1</v>
      </c>
      <c r="E38" s="123" t="s">
        <v>34</v>
      </c>
      <c r="F38" s="135" t="s">
        <v>159</v>
      </c>
      <c r="G38" s="123" t="s">
        <v>29</v>
      </c>
      <c r="H38" s="118" t="s">
        <v>37</v>
      </c>
    </row>
    <row r="39" spans="1:8" ht="15.75" thickBot="1">
      <c r="A39" s="130">
        <v>341</v>
      </c>
      <c r="B39" s="130"/>
      <c r="C39" s="124" t="s">
        <v>160</v>
      </c>
      <c r="D39" s="125">
        <v>1</v>
      </c>
      <c r="E39" s="123" t="s">
        <v>34</v>
      </c>
      <c r="F39" s="135" t="s">
        <v>159</v>
      </c>
      <c r="G39" s="123" t="s">
        <v>29</v>
      </c>
      <c r="H39" s="118" t="s">
        <v>37</v>
      </c>
    </row>
    <row r="40" spans="1:8" ht="15.75" thickBot="1">
      <c r="A40" s="130">
        <v>342</v>
      </c>
      <c r="B40" s="130"/>
      <c r="C40" s="124" t="s">
        <v>161</v>
      </c>
      <c r="D40" s="125">
        <v>1</v>
      </c>
      <c r="E40" s="123" t="s">
        <v>34</v>
      </c>
      <c r="F40" s="135" t="s">
        <v>159</v>
      </c>
      <c r="G40" s="123" t="s">
        <v>29</v>
      </c>
      <c r="H40" s="118" t="s">
        <v>37</v>
      </c>
    </row>
    <row r="41" spans="1:8" ht="15.75" thickBot="1">
      <c r="A41" s="62" t="s">
        <v>162</v>
      </c>
      <c r="B41" s="183"/>
      <c r="C41" s="183"/>
      <c r="D41" s="183"/>
      <c r="E41" s="180"/>
      <c r="F41" s="183"/>
      <c r="G41" s="183"/>
      <c r="H41" s="181"/>
    </row>
    <row r="42" spans="1:8">
      <c r="A42" s="252">
        <v>350</v>
      </c>
      <c r="B42" s="240" t="s">
        <v>163</v>
      </c>
      <c r="C42" s="246" t="s">
        <v>164</v>
      </c>
      <c r="D42" s="38"/>
      <c r="E42" s="240" t="s">
        <v>14</v>
      </c>
      <c r="F42" s="249" t="s">
        <v>165</v>
      </c>
      <c r="G42" s="240" t="s">
        <v>107</v>
      </c>
      <c r="H42" s="242" t="s">
        <v>30</v>
      </c>
    </row>
    <row r="43" spans="1:8">
      <c r="A43" s="229"/>
      <c r="B43" s="225"/>
      <c r="C43" s="247"/>
      <c r="D43" s="39">
        <v>6</v>
      </c>
      <c r="E43" s="225"/>
      <c r="F43" s="250"/>
      <c r="G43" s="225"/>
      <c r="H43" s="230"/>
    </row>
    <row r="44" spans="1:8" ht="15.75" thickBot="1">
      <c r="A44" s="253"/>
      <c r="B44" s="226"/>
      <c r="C44" s="248"/>
      <c r="D44" s="40"/>
      <c r="E44" s="226"/>
      <c r="F44" s="251"/>
      <c r="G44" s="226"/>
      <c r="H44" s="231"/>
    </row>
  </sheetData>
  <mergeCells count="81">
    <mergeCell ref="A1:H1"/>
    <mergeCell ref="B2:B3"/>
    <mergeCell ref="B20:B21"/>
    <mergeCell ref="B22:B23"/>
    <mergeCell ref="B25:B26"/>
    <mergeCell ref="A20:A21"/>
    <mergeCell ref="A22:A23"/>
    <mergeCell ref="C2:C3"/>
    <mergeCell ref="E2:E3"/>
    <mergeCell ref="F22:F23"/>
    <mergeCell ref="D20:D21"/>
    <mergeCell ref="D22:D23"/>
    <mergeCell ref="E20:E21"/>
    <mergeCell ref="D2:D3"/>
    <mergeCell ref="C25:C26"/>
    <mergeCell ref="E22:E23"/>
    <mergeCell ref="A42:A44"/>
    <mergeCell ref="B35:B36"/>
    <mergeCell ref="B42:B44"/>
    <mergeCell ref="A25:A26"/>
    <mergeCell ref="A27:A28"/>
    <mergeCell ref="A29:A30"/>
    <mergeCell ref="A31:A32"/>
    <mergeCell ref="A33:A34"/>
    <mergeCell ref="A35:A36"/>
    <mergeCell ref="B27:B28"/>
    <mergeCell ref="B29:B30"/>
    <mergeCell ref="B31:B32"/>
    <mergeCell ref="B33:B34"/>
    <mergeCell ref="H42:H44"/>
    <mergeCell ref="C42:C44"/>
    <mergeCell ref="E42:E44"/>
    <mergeCell ref="F42:F44"/>
    <mergeCell ref="H29:H30"/>
    <mergeCell ref="H31:H32"/>
    <mergeCell ref="H33:H34"/>
    <mergeCell ref="H35:H36"/>
    <mergeCell ref="E31:E32"/>
    <mergeCell ref="E33:E34"/>
    <mergeCell ref="E35:E36"/>
    <mergeCell ref="F29:F30"/>
    <mergeCell ref="F31:F32"/>
    <mergeCell ref="G42:G44"/>
    <mergeCell ref="C33:C34"/>
    <mergeCell ref="C35:C36"/>
    <mergeCell ref="H2:H3"/>
    <mergeCell ref="G2:G3"/>
    <mergeCell ref="G20:G21"/>
    <mergeCell ref="C20:C21"/>
    <mergeCell ref="G22:G23"/>
    <mergeCell ref="H20:H21"/>
    <mergeCell ref="H22:H23"/>
    <mergeCell ref="C22:C23"/>
    <mergeCell ref="F2:F3"/>
    <mergeCell ref="F20:F21"/>
    <mergeCell ref="D35:D36"/>
    <mergeCell ref="D31:D32"/>
    <mergeCell ref="D33:D34"/>
    <mergeCell ref="E29:E30"/>
    <mergeCell ref="B9:H9"/>
    <mergeCell ref="B19:H19"/>
    <mergeCell ref="G25:G26"/>
    <mergeCell ref="H25:H26"/>
    <mergeCell ref="H27:H28"/>
    <mergeCell ref="F33:F34"/>
    <mergeCell ref="F35:F36"/>
    <mergeCell ref="G33:G34"/>
    <mergeCell ref="G35:G36"/>
    <mergeCell ref="G27:G28"/>
    <mergeCell ref="F27:F28"/>
    <mergeCell ref="G29:G30"/>
    <mergeCell ref="D25:D26"/>
    <mergeCell ref="E25:E26"/>
    <mergeCell ref="D29:D30"/>
    <mergeCell ref="G31:G32"/>
    <mergeCell ref="C27:C28"/>
    <mergeCell ref="F25:F26"/>
    <mergeCell ref="C29:C30"/>
    <mergeCell ref="C31:C32"/>
    <mergeCell ref="D27:D28"/>
    <mergeCell ref="E27:E28"/>
  </mergeCells>
  <phoneticPr fontId="4" type="noConversion"/>
  <printOptions gridLines="1"/>
  <pageMargins left="0.70866141732283472" right="0.70866141732283472" top="0.74803149606299213" bottom="0.74803149606299213" header="0.31496062992125984" footer="0.31496062992125984"/>
  <pageSetup paperSize="8" fitToHeight="0" orientation="landscape" r:id="rId1"/>
  <headerFooter>
    <oddHeader>&amp;C&amp;A</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102"/>
  <sheetViews>
    <sheetView tabSelected="1" zoomScaleNormal="100" workbookViewId="0">
      <selection activeCell="F80" sqref="F80"/>
    </sheetView>
  </sheetViews>
  <sheetFormatPr defaultColWidth="11.42578125" defaultRowHeight="15"/>
  <cols>
    <col min="1" max="1" width="9.42578125" style="6" customWidth="1"/>
    <col min="2" max="2" width="11" style="72" bestFit="1" customWidth="1"/>
    <col min="3" max="3" width="51.140625" style="77" customWidth="1"/>
    <col min="4" max="4" width="9.5703125" style="6" bestFit="1" customWidth="1"/>
    <col min="5" max="5" width="12.140625" style="6" customWidth="1"/>
    <col min="6" max="6" width="29.5703125" style="83" customWidth="1"/>
    <col min="7" max="7" width="10" style="72" bestFit="1" customWidth="1"/>
    <col min="8" max="8" width="11.85546875" style="21" customWidth="1"/>
  </cols>
  <sheetData>
    <row r="1" spans="1:9" ht="15" customHeight="1" thickBot="1">
      <c r="A1" s="227" t="s">
        <v>18</v>
      </c>
      <c r="B1" s="227"/>
      <c r="C1" s="227"/>
      <c r="D1" s="227"/>
      <c r="E1" s="227"/>
      <c r="F1" s="227"/>
      <c r="G1" s="227"/>
      <c r="H1" s="227"/>
    </row>
    <row r="2" spans="1:9" ht="17.45" customHeight="1">
      <c r="A2" s="1" t="s">
        <v>19</v>
      </c>
      <c r="B2" s="228" t="s">
        <v>20</v>
      </c>
      <c r="C2" s="221" t="s">
        <v>21</v>
      </c>
      <c r="D2" s="221" t="s">
        <v>22</v>
      </c>
      <c r="E2" s="221" t="s">
        <v>23</v>
      </c>
      <c r="F2" s="228" t="s">
        <v>24</v>
      </c>
      <c r="G2" s="228" t="s">
        <v>25</v>
      </c>
      <c r="H2" s="228" t="s">
        <v>26</v>
      </c>
    </row>
    <row r="3" spans="1:9" ht="15.75" thickBot="1">
      <c r="A3" s="86" t="s">
        <v>27</v>
      </c>
      <c r="B3" s="222"/>
      <c r="C3" s="222"/>
      <c r="D3" s="222"/>
      <c r="E3" s="222"/>
      <c r="F3" s="232"/>
      <c r="G3" s="232"/>
      <c r="H3" s="222"/>
      <c r="I3" t="s">
        <v>166</v>
      </c>
    </row>
    <row r="4" spans="1:9" ht="15.75" thickBot="1">
      <c r="A4" s="44">
        <v>384</v>
      </c>
      <c r="B4" s="3" t="s">
        <v>167</v>
      </c>
      <c r="C4" s="10" t="s">
        <v>168</v>
      </c>
      <c r="D4" s="3">
        <v>2</v>
      </c>
      <c r="E4" s="3" t="s">
        <v>9</v>
      </c>
      <c r="F4" s="12" t="s">
        <v>112</v>
      </c>
      <c r="G4" s="8" t="s">
        <v>29</v>
      </c>
      <c r="H4" s="18" t="s">
        <v>30</v>
      </c>
    </row>
    <row r="5" spans="1:9" ht="48.75" thickBot="1">
      <c r="A5" s="45">
        <v>385</v>
      </c>
      <c r="B5" s="3" t="s">
        <v>169</v>
      </c>
      <c r="C5" s="12" t="s">
        <v>170</v>
      </c>
      <c r="D5" s="3">
        <v>1</v>
      </c>
      <c r="E5" s="3" t="s">
        <v>114</v>
      </c>
      <c r="F5" s="12" t="s">
        <v>171</v>
      </c>
      <c r="G5" s="8" t="s">
        <v>29</v>
      </c>
      <c r="H5" s="18" t="s">
        <v>30</v>
      </c>
    </row>
    <row r="6" spans="1:9" ht="24.75" thickBot="1">
      <c r="A6" s="45">
        <v>386</v>
      </c>
      <c r="B6" s="3" t="s">
        <v>172</v>
      </c>
      <c r="C6" s="12" t="s">
        <v>173</v>
      </c>
      <c r="D6" s="3">
        <v>2</v>
      </c>
      <c r="E6" s="3" t="s">
        <v>7</v>
      </c>
      <c r="F6" s="12" t="s">
        <v>112</v>
      </c>
      <c r="G6" s="8" t="s">
        <v>107</v>
      </c>
      <c r="H6" s="18" t="s">
        <v>30</v>
      </c>
    </row>
    <row r="7" spans="1:9" ht="24.75" thickBot="1">
      <c r="A7" s="45">
        <v>387</v>
      </c>
      <c r="B7" s="3" t="s">
        <v>174</v>
      </c>
      <c r="C7" s="12" t="s">
        <v>175</v>
      </c>
      <c r="D7" s="3">
        <v>2</v>
      </c>
      <c r="E7" s="3" t="s">
        <v>7</v>
      </c>
      <c r="F7" s="12" t="s">
        <v>112</v>
      </c>
      <c r="G7" s="8" t="s">
        <v>107</v>
      </c>
      <c r="H7" s="18" t="s">
        <v>30</v>
      </c>
    </row>
    <row r="8" spans="1:9" ht="24.75" thickBot="1">
      <c r="A8" s="45">
        <v>388</v>
      </c>
      <c r="B8" s="3" t="s">
        <v>176</v>
      </c>
      <c r="C8" s="12" t="s">
        <v>177</v>
      </c>
      <c r="D8" s="3">
        <v>2</v>
      </c>
      <c r="E8" s="3" t="s">
        <v>9</v>
      </c>
      <c r="F8" s="12" t="s">
        <v>112</v>
      </c>
      <c r="G8" s="8" t="s">
        <v>107</v>
      </c>
      <c r="H8" s="18" t="s">
        <v>30</v>
      </c>
    </row>
    <row r="9" spans="1:9" ht="24.75" thickBot="1">
      <c r="A9" s="45">
        <v>389</v>
      </c>
      <c r="B9" s="3" t="s">
        <v>178</v>
      </c>
      <c r="C9" s="195" t="s">
        <v>179</v>
      </c>
      <c r="D9" s="9">
        <v>1</v>
      </c>
      <c r="E9" s="9" t="s">
        <v>114</v>
      </c>
      <c r="F9" s="195" t="s">
        <v>180</v>
      </c>
      <c r="G9" s="98" t="s">
        <v>107</v>
      </c>
      <c r="H9" s="24" t="s">
        <v>181</v>
      </c>
    </row>
    <row r="10" spans="1:9" ht="15.75" thickBot="1">
      <c r="A10" s="73">
        <v>390</v>
      </c>
      <c r="B10" s="132"/>
      <c r="C10" s="196" t="s">
        <v>182</v>
      </c>
      <c r="D10" s="132">
        <v>2</v>
      </c>
      <c r="E10" s="56" t="s">
        <v>9</v>
      </c>
      <c r="F10" s="133">
        <v>1</v>
      </c>
      <c r="G10" s="136" t="s">
        <v>29</v>
      </c>
      <c r="H10" s="197" t="s">
        <v>183</v>
      </c>
    </row>
    <row r="11" spans="1:9" ht="15.75" thickBot="1">
      <c r="A11" s="45" t="s">
        <v>184</v>
      </c>
      <c r="B11" s="258" t="s">
        <v>185</v>
      </c>
      <c r="C11" s="259"/>
      <c r="D11" s="259"/>
      <c r="E11" s="259"/>
      <c r="F11" s="259"/>
      <c r="G11" s="259"/>
      <c r="H11" s="260"/>
    </row>
    <row r="12" spans="1:9" ht="15.75" thickBot="1">
      <c r="A12" s="45">
        <v>400</v>
      </c>
      <c r="B12" s="3" t="s">
        <v>186</v>
      </c>
      <c r="C12" s="12" t="s">
        <v>187</v>
      </c>
      <c r="D12" s="3">
        <v>2</v>
      </c>
      <c r="E12" s="3" t="s">
        <v>9</v>
      </c>
      <c r="F12" s="12" t="s">
        <v>112</v>
      </c>
      <c r="G12" s="8" t="s">
        <v>29</v>
      </c>
      <c r="H12" s="18" t="s">
        <v>30</v>
      </c>
    </row>
    <row r="13" spans="1:9" ht="15.75" thickBot="1">
      <c r="A13" s="45">
        <v>401</v>
      </c>
      <c r="B13" s="3" t="s">
        <v>188</v>
      </c>
      <c r="C13" s="12" t="s">
        <v>189</v>
      </c>
      <c r="D13" s="3">
        <v>2</v>
      </c>
      <c r="E13" s="3" t="s">
        <v>9</v>
      </c>
      <c r="F13" s="12" t="s">
        <v>112</v>
      </c>
      <c r="G13" s="8" t="s">
        <v>29</v>
      </c>
      <c r="H13" s="18" t="s">
        <v>30</v>
      </c>
    </row>
    <row r="14" spans="1:9" ht="15.75" thickBot="1">
      <c r="A14" s="45">
        <v>402</v>
      </c>
      <c r="B14" s="3" t="s">
        <v>190</v>
      </c>
      <c r="C14" s="12" t="s">
        <v>191</v>
      </c>
      <c r="D14" s="3">
        <v>2</v>
      </c>
      <c r="E14" s="3" t="s">
        <v>9</v>
      </c>
      <c r="F14" s="12" t="s">
        <v>112</v>
      </c>
      <c r="G14" s="8" t="s">
        <v>29</v>
      </c>
      <c r="H14" s="18" t="s">
        <v>30</v>
      </c>
    </row>
    <row r="15" spans="1:9" ht="15.75" thickBot="1">
      <c r="A15" s="45">
        <v>403</v>
      </c>
      <c r="B15" s="3" t="s">
        <v>192</v>
      </c>
      <c r="C15" s="12" t="s">
        <v>193</v>
      </c>
      <c r="D15" s="3">
        <v>2</v>
      </c>
      <c r="E15" s="3" t="s">
        <v>9</v>
      </c>
      <c r="F15" s="12" t="s">
        <v>112</v>
      </c>
      <c r="G15" s="8" t="s">
        <v>29</v>
      </c>
      <c r="H15" s="18" t="s">
        <v>30</v>
      </c>
    </row>
    <row r="16" spans="1:9" ht="15.75" thickBot="1">
      <c r="A16" s="45">
        <v>404</v>
      </c>
      <c r="B16" s="3" t="s">
        <v>194</v>
      </c>
      <c r="C16" s="12" t="s">
        <v>195</v>
      </c>
      <c r="D16" s="3">
        <v>2</v>
      </c>
      <c r="E16" s="3" t="s">
        <v>9</v>
      </c>
      <c r="F16" s="12" t="s">
        <v>112</v>
      </c>
      <c r="G16" s="8" t="s">
        <v>29</v>
      </c>
      <c r="H16" s="18" t="s">
        <v>30</v>
      </c>
    </row>
    <row r="17" spans="1:8" ht="15.75" thickBot="1">
      <c r="A17" s="45">
        <v>405</v>
      </c>
      <c r="B17" s="3" t="s">
        <v>196</v>
      </c>
      <c r="C17" s="12" t="s">
        <v>197</v>
      </c>
      <c r="D17" s="3">
        <v>2</v>
      </c>
      <c r="E17" s="3" t="s">
        <v>7</v>
      </c>
      <c r="F17" s="12" t="s">
        <v>112</v>
      </c>
      <c r="G17" s="8" t="s">
        <v>29</v>
      </c>
      <c r="H17" s="18" t="s">
        <v>30</v>
      </c>
    </row>
    <row r="18" spans="1:8" ht="15.75" thickBot="1">
      <c r="A18" s="45">
        <v>406</v>
      </c>
      <c r="B18" s="3" t="s">
        <v>198</v>
      </c>
      <c r="C18" s="12" t="s">
        <v>199</v>
      </c>
      <c r="D18" s="3">
        <v>2</v>
      </c>
      <c r="E18" s="3" t="s">
        <v>7</v>
      </c>
      <c r="F18" s="12" t="s">
        <v>112</v>
      </c>
      <c r="G18" s="8" t="s">
        <v>29</v>
      </c>
      <c r="H18" s="18" t="s">
        <v>30</v>
      </c>
    </row>
    <row r="19" spans="1:8" ht="15.75" thickBot="1">
      <c r="A19" s="45">
        <v>407</v>
      </c>
      <c r="B19" s="3" t="s">
        <v>200</v>
      </c>
      <c r="C19" s="12" t="s">
        <v>201</v>
      </c>
      <c r="D19" s="3">
        <v>2</v>
      </c>
      <c r="E19" s="3" t="s">
        <v>7</v>
      </c>
      <c r="F19" s="12" t="s">
        <v>112</v>
      </c>
      <c r="G19" s="8" t="s">
        <v>29</v>
      </c>
      <c r="H19" s="18" t="s">
        <v>30</v>
      </c>
    </row>
    <row r="20" spans="1:8" ht="15.75" thickBot="1">
      <c r="A20" s="45">
        <v>408</v>
      </c>
      <c r="B20" s="3" t="s">
        <v>202</v>
      </c>
      <c r="C20" s="12" t="s">
        <v>203</v>
      </c>
      <c r="D20" s="3">
        <v>2</v>
      </c>
      <c r="E20" s="3" t="s">
        <v>7</v>
      </c>
      <c r="F20" s="12" t="s">
        <v>112</v>
      </c>
      <c r="G20" s="8" t="s">
        <v>29</v>
      </c>
      <c r="H20" s="18" t="s">
        <v>30</v>
      </c>
    </row>
    <row r="21" spans="1:8" ht="15.75" thickBot="1">
      <c r="A21" s="45">
        <v>409</v>
      </c>
      <c r="B21" s="3" t="s">
        <v>204</v>
      </c>
      <c r="C21" s="12" t="s">
        <v>205</v>
      </c>
      <c r="D21" s="3">
        <v>1</v>
      </c>
      <c r="E21" s="3" t="s">
        <v>34</v>
      </c>
      <c r="F21" s="12" t="s">
        <v>206</v>
      </c>
      <c r="G21" s="8" t="s">
        <v>29</v>
      </c>
      <c r="H21" s="18" t="s">
        <v>30</v>
      </c>
    </row>
    <row r="22" spans="1:8" ht="15.75" thickBot="1">
      <c r="A22" s="45">
        <v>410</v>
      </c>
      <c r="B22" s="3" t="s">
        <v>207</v>
      </c>
      <c r="C22" s="12" t="s">
        <v>208</v>
      </c>
      <c r="D22" s="3">
        <v>2</v>
      </c>
      <c r="E22" s="3" t="s">
        <v>7</v>
      </c>
      <c r="F22" s="12" t="s">
        <v>209</v>
      </c>
      <c r="G22" s="8" t="s">
        <v>29</v>
      </c>
      <c r="H22" s="18" t="s">
        <v>30</v>
      </c>
    </row>
    <row r="23" spans="1:8" ht="15.75" thickBot="1">
      <c r="A23" s="45">
        <v>411</v>
      </c>
      <c r="B23" s="3" t="s">
        <v>210</v>
      </c>
      <c r="C23" s="12" t="s">
        <v>211</v>
      </c>
      <c r="D23" s="3">
        <v>1</v>
      </c>
      <c r="E23" s="3" t="s">
        <v>114</v>
      </c>
      <c r="F23" s="12" t="s">
        <v>212</v>
      </c>
      <c r="G23" s="8" t="s">
        <v>29</v>
      </c>
      <c r="H23" s="18" t="s">
        <v>30</v>
      </c>
    </row>
    <row r="24" spans="1:8" ht="15.75" thickBot="1">
      <c r="A24" s="45">
        <v>412</v>
      </c>
      <c r="B24" s="3" t="s">
        <v>213</v>
      </c>
      <c r="C24" s="12" t="s">
        <v>214</v>
      </c>
      <c r="D24" s="3">
        <v>1</v>
      </c>
      <c r="E24" s="3" t="s">
        <v>114</v>
      </c>
      <c r="F24" s="12" t="s">
        <v>212</v>
      </c>
      <c r="G24" s="8" t="s">
        <v>29</v>
      </c>
      <c r="H24" s="18" t="s">
        <v>30</v>
      </c>
    </row>
    <row r="25" spans="1:8" ht="15.75" thickBot="1">
      <c r="A25" s="45">
        <v>413</v>
      </c>
      <c r="B25" s="3" t="s">
        <v>215</v>
      </c>
      <c r="C25" s="12" t="s">
        <v>216</v>
      </c>
      <c r="D25" s="3">
        <v>2</v>
      </c>
      <c r="E25" s="3" t="s">
        <v>7</v>
      </c>
      <c r="F25" s="129">
        <v>1E-4</v>
      </c>
      <c r="G25" s="8" t="s">
        <v>29</v>
      </c>
      <c r="H25" s="18" t="s">
        <v>30</v>
      </c>
    </row>
    <row r="26" spans="1:8" ht="15.75" thickBot="1">
      <c r="A26" s="45">
        <v>414</v>
      </c>
      <c r="B26" s="3" t="s">
        <v>217</v>
      </c>
      <c r="C26" s="12" t="s">
        <v>218</v>
      </c>
      <c r="D26" s="3">
        <v>2</v>
      </c>
      <c r="E26" s="3" t="s">
        <v>7</v>
      </c>
      <c r="F26" s="129">
        <v>1E-4</v>
      </c>
      <c r="G26" s="8" t="s">
        <v>29</v>
      </c>
      <c r="H26" s="18" t="s">
        <v>30</v>
      </c>
    </row>
    <row r="27" spans="1:8" ht="15.75" thickBot="1">
      <c r="A27" s="45">
        <v>415</v>
      </c>
      <c r="B27" s="3" t="s">
        <v>219</v>
      </c>
      <c r="C27" s="12" t="s">
        <v>220</v>
      </c>
      <c r="D27" s="3">
        <v>1</v>
      </c>
      <c r="E27" s="3" t="s">
        <v>34</v>
      </c>
      <c r="F27" s="12" t="s">
        <v>221</v>
      </c>
      <c r="G27" s="8" t="s">
        <v>29</v>
      </c>
      <c r="H27" s="18" t="s">
        <v>30</v>
      </c>
    </row>
    <row r="28" spans="1:8" ht="15.75" thickBot="1">
      <c r="A28" s="45">
        <v>416</v>
      </c>
      <c r="B28" s="240"/>
      <c r="C28" s="12" t="s">
        <v>222</v>
      </c>
      <c r="D28" s="3">
        <v>1</v>
      </c>
      <c r="E28" s="3" t="s">
        <v>34</v>
      </c>
      <c r="F28" s="81">
        <v>0.01</v>
      </c>
      <c r="G28" s="8" t="s">
        <v>29</v>
      </c>
      <c r="H28" s="242" t="s">
        <v>30</v>
      </c>
    </row>
    <row r="29" spans="1:8" ht="24.75" thickBot="1">
      <c r="A29" s="45">
        <v>417</v>
      </c>
      <c r="B29" s="225"/>
      <c r="C29" s="12" t="s">
        <v>223</v>
      </c>
      <c r="D29" s="3">
        <v>2</v>
      </c>
      <c r="E29" s="3" t="s">
        <v>9</v>
      </c>
      <c r="F29" s="12" t="s">
        <v>112</v>
      </c>
      <c r="G29" s="8" t="s">
        <v>29</v>
      </c>
      <c r="H29" s="230"/>
    </row>
    <row r="30" spans="1:8" ht="132.75" thickBot="1">
      <c r="A30" s="45">
        <v>418</v>
      </c>
      <c r="B30" s="226"/>
      <c r="C30" s="12" t="s">
        <v>224</v>
      </c>
      <c r="D30" s="3">
        <v>2</v>
      </c>
      <c r="E30" s="3" t="s">
        <v>34</v>
      </c>
      <c r="F30" s="12" t="s">
        <v>225</v>
      </c>
      <c r="G30" s="8" t="s">
        <v>29</v>
      </c>
      <c r="H30" s="231"/>
    </row>
    <row r="31" spans="1:8">
      <c r="A31" s="256">
        <v>419</v>
      </c>
      <c r="B31" s="254" t="s">
        <v>137</v>
      </c>
      <c r="C31" s="261" t="s">
        <v>226</v>
      </c>
      <c r="D31" s="240">
        <v>4</v>
      </c>
      <c r="E31" s="240" t="s">
        <v>11</v>
      </c>
      <c r="F31" s="249" t="s">
        <v>49</v>
      </c>
      <c r="G31" s="239" t="s">
        <v>29</v>
      </c>
      <c r="H31" s="242" t="s">
        <v>30</v>
      </c>
    </row>
    <row r="32" spans="1:8" ht="15.75" thickBot="1">
      <c r="A32" s="257"/>
      <c r="B32" s="255"/>
      <c r="C32" s="262"/>
      <c r="D32" s="226"/>
      <c r="E32" s="226"/>
      <c r="F32" s="251"/>
      <c r="G32" s="224"/>
      <c r="H32" s="231"/>
    </row>
    <row r="33" spans="1:8" ht="20.25" customHeight="1">
      <c r="A33" s="256">
        <v>421</v>
      </c>
      <c r="B33" s="254" t="s">
        <v>139</v>
      </c>
      <c r="C33" s="261" t="s">
        <v>140</v>
      </c>
      <c r="D33" s="240">
        <v>4</v>
      </c>
      <c r="E33" s="240" t="s">
        <v>11</v>
      </c>
      <c r="F33" s="249" t="s">
        <v>141</v>
      </c>
      <c r="G33" s="239" t="s">
        <v>29</v>
      </c>
      <c r="H33" s="242" t="s">
        <v>30</v>
      </c>
    </row>
    <row r="34" spans="1:8" ht="15.75" thickBot="1">
      <c r="A34" s="257"/>
      <c r="B34" s="255"/>
      <c r="C34" s="262"/>
      <c r="D34" s="226"/>
      <c r="E34" s="226"/>
      <c r="F34" s="251"/>
      <c r="G34" s="224"/>
      <c r="H34" s="231"/>
    </row>
    <row r="35" spans="1:8">
      <c r="A35" s="256">
        <v>423</v>
      </c>
      <c r="B35" s="254" t="s">
        <v>147</v>
      </c>
      <c r="C35" s="261" t="s">
        <v>148</v>
      </c>
      <c r="D35" s="240">
        <v>4</v>
      </c>
      <c r="E35" s="240" t="s">
        <v>11</v>
      </c>
      <c r="F35" s="249" t="s">
        <v>49</v>
      </c>
      <c r="G35" s="239" t="s">
        <v>29</v>
      </c>
      <c r="H35" s="242" t="s">
        <v>30</v>
      </c>
    </row>
    <row r="36" spans="1:8" ht="15.75" thickBot="1">
      <c r="A36" s="257"/>
      <c r="B36" s="255"/>
      <c r="C36" s="262"/>
      <c r="D36" s="226"/>
      <c r="E36" s="226"/>
      <c r="F36" s="251"/>
      <c r="G36" s="224"/>
      <c r="H36" s="231"/>
    </row>
    <row r="37" spans="1:8">
      <c r="A37" s="256">
        <v>425</v>
      </c>
      <c r="B37" s="254" t="s">
        <v>149</v>
      </c>
      <c r="C37" s="261" t="s">
        <v>150</v>
      </c>
      <c r="D37" s="240">
        <v>4</v>
      </c>
      <c r="E37" s="240" t="s">
        <v>11</v>
      </c>
      <c r="F37" s="249" t="s">
        <v>141</v>
      </c>
      <c r="G37" s="239" t="s">
        <v>29</v>
      </c>
      <c r="H37" s="242" t="s">
        <v>30</v>
      </c>
    </row>
    <row r="38" spans="1:8" ht="15.75" thickBot="1">
      <c r="A38" s="257"/>
      <c r="B38" s="255"/>
      <c r="C38" s="262"/>
      <c r="D38" s="226"/>
      <c r="E38" s="226"/>
      <c r="F38" s="251"/>
      <c r="G38" s="224"/>
      <c r="H38" s="231"/>
    </row>
    <row r="39" spans="1:8">
      <c r="A39" s="256">
        <v>427</v>
      </c>
      <c r="B39" s="254" t="s">
        <v>151</v>
      </c>
      <c r="C39" s="261" t="s">
        <v>152</v>
      </c>
      <c r="D39" s="240">
        <v>4</v>
      </c>
      <c r="E39" s="240" t="s">
        <v>11</v>
      </c>
      <c r="F39" s="249" t="s">
        <v>49</v>
      </c>
      <c r="G39" s="239" t="s">
        <v>29</v>
      </c>
      <c r="H39" s="242" t="s">
        <v>30</v>
      </c>
    </row>
    <row r="40" spans="1:8" ht="15.75" thickBot="1">
      <c r="A40" s="257"/>
      <c r="B40" s="255"/>
      <c r="C40" s="262"/>
      <c r="D40" s="226"/>
      <c r="E40" s="226"/>
      <c r="F40" s="251"/>
      <c r="G40" s="224"/>
      <c r="H40" s="231"/>
    </row>
    <row r="41" spans="1:8">
      <c r="A41" s="256">
        <v>429</v>
      </c>
      <c r="B41" s="254" t="s">
        <v>153</v>
      </c>
      <c r="C41" s="261" t="s">
        <v>154</v>
      </c>
      <c r="D41" s="240">
        <v>4</v>
      </c>
      <c r="E41" s="240" t="s">
        <v>11</v>
      </c>
      <c r="F41" s="249" t="s">
        <v>141</v>
      </c>
      <c r="G41" s="239" t="s">
        <v>29</v>
      </c>
      <c r="H41" s="242" t="s">
        <v>30</v>
      </c>
    </row>
    <row r="42" spans="1:8" ht="15.75" thickBot="1">
      <c r="A42" s="257"/>
      <c r="B42" s="255"/>
      <c r="C42" s="262"/>
      <c r="D42" s="226"/>
      <c r="E42" s="226"/>
      <c r="F42" s="251"/>
      <c r="G42" s="224"/>
      <c r="H42" s="231"/>
    </row>
    <row r="43" spans="1:8">
      <c r="A43" s="256">
        <v>431</v>
      </c>
      <c r="B43" s="254" t="s">
        <v>155</v>
      </c>
      <c r="C43" s="261" t="s">
        <v>156</v>
      </c>
      <c r="D43" s="240">
        <v>4</v>
      </c>
      <c r="E43" s="240" t="s">
        <v>11</v>
      </c>
      <c r="F43" s="249" t="s">
        <v>141</v>
      </c>
      <c r="G43" s="239" t="s">
        <v>29</v>
      </c>
      <c r="H43" s="242" t="s">
        <v>30</v>
      </c>
    </row>
    <row r="44" spans="1:8" ht="15.75" thickBot="1">
      <c r="A44" s="257"/>
      <c r="B44" s="255"/>
      <c r="C44" s="262"/>
      <c r="D44" s="226"/>
      <c r="E44" s="226"/>
      <c r="F44" s="251"/>
      <c r="G44" s="224"/>
      <c r="H44" s="231"/>
    </row>
    <row r="45" spans="1:8">
      <c r="A45" s="252">
        <v>433</v>
      </c>
      <c r="B45" s="240" t="s">
        <v>227</v>
      </c>
      <c r="C45" s="263" t="s">
        <v>228</v>
      </c>
      <c r="D45" s="240">
        <v>4</v>
      </c>
      <c r="E45" s="240" t="s">
        <v>11</v>
      </c>
      <c r="F45" s="249" t="s">
        <v>229</v>
      </c>
      <c r="G45" s="239" t="s">
        <v>29</v>
      </c>
      <c r="H45" s="242" t="s">
        <v>30</v>
      </c>
    </row>
    <row r="46" spans="1:8" ht="15.75" thickBot="1">
      <c r="A46" s="253"/>
      <c r="B46" s="226"/>
      <c r="C46" s="264"/>
      <c r="D46" s="226"/>
      <c r="E46" s="226"/>
      <c r="F46" s="251"/>
      <c r="G46" s="224"/>
      <c r="H46" s="231"/>
    </row>
    <row r="47" spans="1:8">
      <c r="A47" s="252">
        <v>435</v>
      </c>
      <c r="B47" s="240" t="s">
        <v>230</v>
      </c>
      <c r="C47" s="261" t="s">
        <v>231</v>
      </c>
      <c r="D47" s="240">
        <v>4</v>
      </c>
      <c r="E47" s="240" t="s">
        <v>11</v>
      </c>
      <c r="F47" s="249" t="s">
        <v>229</v>
      </c>
      <c r="G47" s="239" t="s">
        <v>29</v>
      </c>
      <c r="H47" s="242" t="s">
        <v>30</v>
      </c>
    </row>
    <row r="48" spans="1:8" ht="15.75" thickBot="1">
      <c r="A48" s="253"/>
      <c r="B48" s="226"/>
      <c r="C48" s="262"/>
      <c r="D48" s="226"/>
      <c r="E48" s="226"/>
      <c r="F48" s="251"/>
      <c r="G48" s="224"/>
      <c r="H48" s="231"/>
    </row>
    <row r="49" spans="1:10">
      <c r="A49" s="252">
        <v>437</v>
      </c>
      <c r="B49" s="240" t="s">
        <v>232</v>
      </c>
      <c r="C49" s="261" t="s">
        <v>233</v>
      </c>
      <c r="D49" s="240">
        <v>4</v>
      </c>
      <c r="E49" s="240" t="s">
        <v>11</v>
      </c>
      <c r="F49" s="249" t="s">
        <v>229</v>
      </c>
      <c r="G49" s="239" t="s">
        <v>29</v>
      </c>
      <c r="H49" s="242" t="s">
        <v>30</v>
      </c>
    </row>
    <row r="50" spans="1:10" ht="15.75" thickBot="1">
      <c r="A50" s="253"/>
      <c r="B50" s="226"/>
      <c r="C50" s="262"/>
      <c r="D50" s="226"/>
      <c r="E50" s="226"/>
      <c r="F50" s="251"/>
      <c r="G50" s="224"/>
      <c r="H50" s="231"/>
    </row>
    <row r="51" spans="1:10" s="96" customFormat="1" ht="12.75" customHeight="1" thickBot="1">
      <c r="A51" s="47">
        <v>438</v>
      </c>
      <c r="B51" s="78"/>
      <c r="C51" s="176"/>
      <c r="D51" s="177"/>
      <c r="E51" s="177"/>
      <c r="F51" s="178"/>
      <c r="G51" s="177"/>
      <c r="H51" s="179"/>
      <c r="J51"/>
    </row>
    <row r="52" spans="1:10" s="96" customFormat="1" ht="12.75" customHeight="1" thickBot="1">
      <c r="A52" s="152">
        <v>439</v>
      </c>
      <c r="B52" s="149"/>
      <c r="C52" s="148" t="s">
        <v>234</v>
      </c>
      <c r="D52" s="149">
        <v>4</v>
      </c>
      <c r="E52" s="74" t="s">
        <v>11</v>
      </c>
      <c r="F52" s="148" t="s">
        <v>235</v>
      </c>
      <c r="G52" s="149" t="s">
        <v>29</v>
      </c>
      <c r="H52" s="149" t="s">
        <v>37</v>
      </c>
      <c r="J52"/>
    </row>
    <row r="53" spans="1:10" s="96" customFormat="1" ht="12.75" customHeight="1" thickBot="1">
      <c r="A53" s="152">
        <v>441</v>
      </c>
      <c r="B53" s="149" t="s">
        <v>236</v>
      </c>
      <c r="C53" s="148" t="s">
        <v>237</v>
      </c>
      <c r="D53" s="149">
        <v>4</v>
      </c>
      <c r="E53" s="74" t="s">
        <v>11</v>
      </c>
      <c r="F53" s="148" t="s">
        <v>235</v>
      </c>
      <c r="G53" s="149" t="s">
        <v>29</v>
      </c>
      <c r="H53" s="149" t="s">
        <v>37</v>
      </c>
      <c r="J53"/>
    </row>
    <row r="54" spans="1:10" s="96" customFormat="1" ht="12.75" customHeight="1" thickBot="1">
      <c r="A54" s="152">
        <v>443</v>
      </c>
      <c r="B54" s="149"/>
      <c r="C54" s="148" t="s">
        <v>238</v>
      </c>
      <c r="D54" s="149">
        <v>4</v>
      </c>
      <c r="E54" s="74" t="s">
        <v>11</v>
      </c>
      <c r="F54" s="148" t="s">
        <v>235</v>
      </c>
      <c r="G54" s="149" t="s">
        <v>29</v>
      </c>
      <c r="H54" s="149" t="s">
        <v>37</v>
      </c>
      <c r="J54"/>
    </row>
    <row r="55" spans="1:10" s="96" customFormat="1" ht="12.75" customHeight="1" thickBot="1">
      <c r="A55" s="152">
        <v>445</v>
      </c>
      <c r="B55" s="149" t="s">
        <v>239</v>
      </c>
      <c r="C55" s="148" t="s">
        <v>240</v>
      </c>
      <c r="D55" s="149">
        <v>4</v>
      </c>
      <c r="E55" s="74" t="s">
        <v>11</v>
      </c>
      <c r="F55" s="148" t="s">
        <v>235</v>
      </c>
      <c r="G55" s="149" t="s">
        <v>29</v>
      </c>
      <c r="H55" s="149" t="s">
        <v>37</v>
      </c>
      <c r="J55"/>
    </row>
    <row r="56" spans="1:10" s="96" customFormat="1" ht="12.75" customHeight="1" thickBot="1">
      <c r="A56" s="152">
        <v>447</v>
      </c>
      <c r="B56" s="149" t="s">
        <v>241</v>
      </c>
      <c r="C56" s="148" t="s">
        <v>242</v>
      </c>
      <c r="D56" s="149">
        <v>4</v>
      </c>
      <c r="E56" s="74" t="s">
        <v>11</v>
      </c>
      <c r="F56" s="148" t="s">
        <v>235</v>
      </c>
      <c r="G56" s="149" t="s">
        <v>29</v>
      </c>
      <c r="H56" s="149" t="s">
        <v>37</v>
      </c>
      <c r="J56"/>
    </row>
    <row r="57" spans="1:10" s="96" customFormat="1" ht="12.75" customHeight="1" thickBot="1">
      <c r="A57" s="152">
        <v>449</v>
      </c>
      <c r="B57" s="149" t="s">
        <v>243</v>
      </c>
      <c r="C57" s="148" t="s">
        <v>244</v>
      </c>
      <c r="D57" s="149">
        <v>4</v>
      </c>
      <c r="E57" s="74" t="s">
        <v>11</v>
      </c>
      <c r="F57" s="148" t="s">
        <v>235</v>
      </c>
      <c r="G57" s="149" t="s">
        <v>29</v>
      </c>
      <c r="H57" s="149" t="s">
        <v>37</v>
      </c>
      <c r="J57"/>
    </row>
    <row r="58" spans="1:10" s="96" customFormat="1" ht="12.75" customHeight="1" thickBot="1">
      <c r="A58" s="152">
        <v>451</v>
      </c>
      <c r="B58" s="149" t="s">
        <v>245</v>
      </c>
      <c r="C58" s="148" t="s">
        <v>246</v>
      </c>
      <c r="D58" s="149">
        <v>4</v>
      </c>
      <c r="E58" s="74" t="s">
        <v>11</v>
      </c>
      <c r="F58" s="148" t="s">
        <v>235</v>
      </c>
      <c r="G58" s="149" t="s">
        <v>29</v>
      </c>
      <c r="H58" s="149" t="s">
        <v>37</v>
      </c>
      <c r="J58"/>
    </row>
    <row r="59" spans="1:10" s="96" customFormat="1" ht="24.75" customHeight="1" thickBot="1">
      <c r="A59" s="152">
        <v>453</v>
      </c>
      <c r="B59" s="149" t="s">
        <v>247</v>
      </c>
      <c r="C59" s="148" t="s">
        <v>248</v>
      </c>
      <c r="D59" s="149">
        <v>2</v>
      </c>
      <c r="E59" s="149" t="s">
        <v>7</v>
      </c>
      <c r="F59" s="175">
        <v>1E-3</v>
      </c>
      <c r="G59" s="149" t="s">
        <v>29</v>
      </c>
      <c r="H59" s="149" t="s">
        <v>37</v>
      </c>
      <c r="J59"/>
    </row>
    <row r="60" spans="1:10" s="96" customFormat="1" ht="24.75" customHeight="1" thickBot="1">
      <c r="A60" s="152">
        <v>454</v>
      </c>
      <c r="B60" s="149" t="s">
        <v>249</v>
      </c>
      <c r="C60" s="148" t="s">
        <v>250</v>
      </c>
      <c r="D60" s="149">
        <v>4</v>
      </c>
      <c r="E60" s="74" t="s">
        <v>11</v>
      </c>
      <c r="F60" s="148" t="s">
        <v>141</v>
      </c>
      <c r="G60" s="149" t="s">
        <v>29</v>
      </c>
      <c r="H60" s="149" t="s">
        <v>37</v>
      </c>
      <c r="J60"/>
    </row>
    <row r="61" spans="1:10" s="96" customFormat="1" ht="24.75" thickBot="1">
      <c r="A61" s="152">
        <v>456</v>
      </c>
      <c r="B61" s="149" t="s">
        <v>251</v>
      </c>
      <c r="C61" s="148" t="s">
        <v>252</v>
      </c>
      <c r="D61" s="149">
        <v>2</v>
      </c>
      <c r="E61" s="149" t="s">
        <v>7</v>
      </c>
      <c r="F61" s="148" t="s">
        <v>253</v>
      </c>
      <c r="G61" s="149" t="s">
        <v>29</v>
      </c>
      <c r="H61" s="149" t="s">
        <v>37</v>
      </c>
      <c r="J61"/>
    </row>
    <row r="62" spans="1:10" s="96" customFormat="1" ht="12.75" customHeight="1" thickBot="1">
      <c r="A62" s="152">
        <v>457</v>
      </c>
      <c r="B62" s="149"/>
      <c r="C62" s="148" t="s">
        <v>254</v>
      </c>
      <c r="D62" s="149">
        <v>2</v>
      </c>
      <c r="E62" s="149" t="s">
        <v>7</v>
      </c>
      <c r="F62" s="148" t="s">
        <v>255</v>
      </c>
      <c r="G62" s="149" t="s">
        <v>29</v>
      </c>
      <c r="H62" s="149" t="s">
        <v>37</v>
      </c>
      <c r="J62"/>
    </row>
    <row r="63" spans="1:10" s="96" customFormat="1" ht="12.75" customHeight="1" thickBot="1">
      <c r="A63" s="152">
        <v>458</v>
      </c>
      <c r="B63" s="149" t="s">
        <v>256</v>
      </c>
      <c r="C63" s="148" t="s">
        <v>257</v>
      </c>
      <c r="D63" s="149">
        <v>2</v>
      </c>
      <c r="E63" s="149" t="s">
        <v>7</v>
      </c>
      <c r="F63" s="148" t="s">
        <v>112</v>
      </c>
      <c r="G63" s="149" t="s">
        <v>29</v>
      </c>
      <c r="H63" s="149" t="s">
        <v>37</v>
      </c>
      <c r="J63"/>
    </row>
    <row r="64" spans="1:10" s="96" customFormat="1" ht="12.75" customHeight="1" thickBot="1">
      <c r="A64" s="152">
        <v>459</v>
      </c>
      <c r="B64" s="149" t="s">
        <v>258</v>
      </c>
      <c r="C64" s="148" t="s">
        <v>259</v>
      </c>
      <c r="D64" s="149">
        <v>2</v>
      </c>
      <c r="E64" s="149" t="s">
        <v>7</v>
      </c>
      <c r="F64" s="175">
        <v>1E-3</v>
      </c>
      <c r="G64" s="149" t="s">
        <v>29</v>
      </c>
      <c r="H64" s="149" t="s">
        <v>37</v>
      </c>
      <c r="J64"/>
    </row>
    <row r="65" spans="1:10" s="96" customFormat="1" ht="12.75" customHeight="1" thickBot="1">
      <c r="A65" s="152">
        <v>460</v>
      </c>
      <c r="B65" s="149" t="s">
        <v>260</v>
      </c>
      <c r="C65" s="148" t="s">
        <v>261</v>
      </c>
      <c r="D65" s="149">
        <v>4</v>
      </c>
      <c r="E65" s="74" t="s">
        <v>11</v>
      </c>
      <c r="F65" s="148" t="s">
        <v>262</v>
      </c>
      <c r="G65" s="149" t="s">
        <v>29</v>
      </c>
      <c r="H65" s="149" t="s">
        <v>37</v>
      </c>
      <c r="J65"/>
    </row>
    <row r="66" spans="1:10" s="96" customFormat="1" ht="12.75" customHeight="1" thickBot="1">
      <c r="A66" s="152">
        <v>462</v>
      </c>
      <c r="B66" s="149" t="s">
        <v>263</v>
      </c>
      <c r="C66" s="148" t="s">
        <v>264</v>
      </c>
      <c r="D66" s="149">
        <v>2</v>
      </c>
      <c r="E66" s="149" t="s">
        <v>7</v>
      </c>
      <c r="F66" s="148">
        <v>1E-3</v>
      </c>
      <c r="G66" s="149" t="s">
        <v>29</v>
      </c>
      <c r="H66" s="118" t="s">
        <v>265</v>
      </c>
      <c r="J66"/>
    </row>
    <row r="67" spans="1:10" s="96" customFormat="1" ht="58.5" customHeight="1" thickBot="1">
      <c r="A67" s="152">
        <v>463</v>
      </c>
      <c r="B67" s="149" t="s">
        <v>266</v>
      </c>
      <c r="C67" s="148" t="s">
        <v>267</v>
      </c>
      <c r="D67" s="149">
        <v>2</v>
      </c>
      <c r="E67" s="149" t="s">
        <v>7</v>
      </c>
      <c r="F67" s="148">
        <v>1E-3</v>
      </c>
      <c r="G67" s="149" t="s">
        <v>29</v>
      </c>
      <c r="H67" s="118" t="s">
        <v>265</v>
      </c>
      <c r="J67"/>
    </row>
    <row r="68" spans="1:10" s="96" customFormat="1" ht="61.5" customHeight="1" thickBot="1">
      <c r="A68" s="152">
        <v>464</v>
      </c>
      <c r="B68" s="149" t="s">
        <v>268</v>
      </c>
      <c r="C68" s="148" t="s">
        <v>269</v>
      </c>
      <c r="D68" s="149">
        <v>1</v>
      </c>
      <c r="E68" s="149" t="s">
        <v>114</v>
      </c>
      <c r="F68" s="148" t="s">
        <v>270</v>
      </c>
      <c r="G68" s="149" t="s">
        <v>107</v>
      </c>
      <c r="H68" s="118" t="s">
        <v>265</v>
      </c>
      <c r="J68"/>
    </row>
    <row r="69" spans="1:10" s="96" customFormat="1" ht="12.75" customHeight="1" thickBot="1">
      <c r="A69" s="152">
        <v>465</v>
      </c>
      <c r="B69" s="149" t="s">
        <v>271</v>
      </c>
      <c r="C69" s="148" t="s">
        <v>272</v>
      </c>
      <c r="D69" s="149">
        <v>1</v>
      </c>
      <c r="E69" s="149" t="s">
        <v>34</v>
      </c>
      <c r="F69" s="148">
        <v>1</v>
      </c>
      <c r="G69" s="149" t="s">
        <v>107</v>
      </c>
      <c r="H69" s="118" t="s">
        <v>265</v>
      </c>
      <c r="J69"/>
    </row>
    <row r="70" spans="1:10" s="96" customFormat="1" ht="12.75" customHeight="1" thickBot="1">
      <c r="A70" s="152">
        <v>466</v>
      </c>
      <c r="B70" s="149" t="s">
        <v>273</v>
      </c>
      <c r="C70" s="148" t="s">
        <v>274</v>
      </c>
      <c r="D70" s="149">
        <v>1</v>
      </c>
      <c r="E70" s="149" t="s">
        <v>34</v>
      </c>
      <c r="F70" s="148">
        <v>1</v>
      </c>
      <c r="G70" s="149" t="s">
        <v>107</v>
      </c>
      <c r="H70" s="118" t="s">
        <v>265</v>
      </c>
      <c r="J70"/>
    </row>
    <row r="71" spans="1:10" s="96" customFormat="1" ht="12.75" customHeight="1" thickBot="1">
      <c r="A71" s="152">
        <v>467</v>
      </c>
      <c r="B71" s="149" t="s">
        <v>275</v>
      </c>
      <c r="C71" s="148" t="s">
        <v>276</v>
      </c>
      <c r="D71" s="149">
        <v>1</v>
      </c>
      <c r="E71" s="149" t="s">
        <v>34</v>
      </c>
      <c r="F71" s="148">
        <v>1</v>
      </c>
      <c r="G71" s="149" t="s">
        <v>107</v>
      </c>
      <c r="H71" s="118" t="s">
        <v>265</v>
      </c>
      <c r="J71"/>
    </row>
    <row r="72" spans="1:10" s="96" customFormat="1" ht="12.75" customHeight="1" thickBot="1">
      <c r="A72" s="152">
        <v>468</v>
      </c>
      <c r="B72" s="149" t="s">
        <v>277</v>
      </c>
      <c r="C72" s="148" t="s">
        <v>278</v>
      </c>
      <c r="D72" s="149">
        <v>1</v>
      </c>
      <c r="E72" s="149" t="s">
        <v>34</v>
      </c>
      <c r="F72" s="148">
        <v>1</v>
      </c>
      <c r="G72" s="149" t="s">
        <v>107</v>
      </c>
      <c r="H72" s="118" t="s">
        <v>265</v>
      </c>
      <c r="J72"/>
    </row>
    <row r="73" spans="1:10" s="96" customFormat="1" ht="12.75" customHeight="1" thickBot="1">
      <c r="A73" s="152">
        <v>469</v>
      </c>
      <c r="B73" s="149" t="s">
        <v>279</v>
      </c>
      <c r="C73" s="148" t="s">
        <v>280</v>
      </c>
      <c r="D73" s="149">
        <v>1</v>
      </c>
      <c r="E73" s="149" t="s">
        <v>34</v>
      </c>
      <c r="F73" s="148">
        <v>1</v>
      </c>
      <c r="G73" s="149" t="s">
        <v>107</v>
      </c>
      <c r="H73" s="118" t="s">
        <v>265</v>
      </c>
      <c r="J73"/>
    </row>
    <row r="74" spans="1:10" s="96" customFormat="1" ht="12.75" customHeight="1" thickBot="1">
      <c r="A74" s="152">
        <v>470</v>
      </c>
      <c r="B74" s="149" t="s">
        <v>281</v>
      </c>
      <c r="C74" s="148" t="s">
        <v>282</v>
      </c>
      <c r="D74" s="149">
        <v>1</v>
      </c>
      <c r="E74" s="149" t="s">
        <v>34</v>
      </c>
      <c r="F74" s="148">
        <v>1</v>
      </c>
      <c r="G74" s="149" t="s">
        <v>107</v>
      </c>
      <c r="H74" s="118" t="s">
        <v>265</v>
      </c>
      <c r="J74"/>
    </row>
    <row r="75" spans="1:10" s="96" customFormat="1" ht="30" customHeight="1" thickBot="1">
      <c r="A75" s="152">
        <v>471</v>
      </c>
      <c r="B75" s="149" t="s">
        <v>283</v>
      </c>
      <c r="C75" s="148" t="s">
        <v>284</v>
      </c>
      <c r="D75" s="149">
        <v>1</v>
      </c>
      <c r="E75" s="149" t="s">
        <v>34</v>
      </c>
      <c r="F75" s="201">
        <v>0.01</v>
      </c>
      <c r="G75" s="149" t="s">
        <v>107</v>
      </c>
      <c r="H75" s="118" t="s">
        <v>265</v>
      </c>
      <c r="J75"/>
    </row>
    <row r="76" spans="1:10" s="96" customFormat="1" ht="39.75" customHeight="1" thickBot="1">
      <c r="A76" s="152">
        <v>472</v>
      </c>
      <c r="B76" s="149" t="s">
        <v>285</v>
      </c>
      <c r="C76" s="148" t="s">
        <v>286</v>
      </c>
      <c r="D76" s="149">
        <v>2</v>
      </c>
      <c r="E76" s="149" t="s">
        <v>7</v>
      </c>
      <c r="F76" s="148">
        <v>0.01</v>
      </c>
      <c r="G76" s="149" t="s">
        <v>107</v>
      </c>
      <c r="H76" s="118" t="s">
        <v>265</v>
      </c>
      <c r="J76"/>
    </row>
    <row r="77" spans="1:10" s="96" customFormat="1" ht="41.25" customHeight="1" thickBot="1">
      <c r="A77" s="152">
        <v>473</v>
      </c>
      <c r="B77" s="149" t="s">
        <v>287</v>
      </c>
      <c r="C77" s="148" t="s">
        <v>288</v>
      </c>
      <c r="D77" s="149">
        <v>1</v>
      </c>
      <c r="E77" s="149" t="s">
        <v>114</v>
      </c>
      <c r="F77" s="148" t="s">
        <v>289</v>
      </c>
      <c r="G77" s="149" t="s">
        <v>107</v>
      </c>
      <c r="H77" s="149" t="s">
        <v>37</v>
      </c>
      <c r="J77"/>
    </row>
    <row r="78" spans="1:10" s="96" customFormat="1" ht="178.5" customHeight="1" thickBot="1">
      <c r="A78" s="152">
        <v>474</v>
      </c>
      <c r="B78" s="149" t="s">
        <v>290</v>
      </c>
      <c r="C78" s="148" t="s">
        <v>291</v>
      </c>
      <c r="D78" s="149">
        <v>1</v>
      </c>
      <c r="E78" s="149" t="s">
        <v>114</v>
      </c>
      <c r="F78" s="148" t="s">
        <v>289</v>
      </c>
      <c r="G78" s="149" t="s">
        <v>107</v>
      </c>
      <c r="H78" s="149" t="s">
        <v>37</v>
      </c>
      <c r="J78"/>
    </row>
    <row r="79" spans="1:10" s="96" customFormat="1" ht="195" customHeight="1" thickBot="1">
      <c r="A79" s="152">
        <v>475</v>
      </c>
      <c r="B79" s="149" t="s">
        <v>292</v>
      </c>
      <c r="C79" s="148" t="s">
        <v>293</v>
      </c>
      <c r="D79" s="149">
        <v>1</v>
      </c>
      <c r="E79" s="149" t="s">
        <v>114</v>
      </c>
      <c r="F79" s="148" t="s">
        <v>294</v>
      </c>
      <c r="G79" s="149" t="s">
        <v>107</v>
      </c>
      <c r="H79" s="149" t="s">
        <v>37</v>
      </c>
      <c r="J79"/>
    </row>
    <row r="80" spans="1:10" s="96" customFormat="1" ht="150.75" customHeight="1" thickBot="1">
      <c r="A80" s="152">
        <v>476</v>
      </c>
      <c r="B80" s="149" t="s">
        <v>295</v>
      </c>
      <c r="C80" s="148" t="s">
        <v>296</v>
      </c>
      <c r="D80" s="149">
        <v>1</v>
      </c>
      <c r="E80" s="149" t="s">
        <v>114</v>
      </c>
      <c r="F80" s="148" t="s">
        <v>294</v>
      </c>
      <c r="G80" s="149" t="s">
        <v>107</v>
      </c>
      <c r="H80" s="149" t="s">
        <v>37</v>
      </c>
      <c r="J80"/>
    </row>
    <row r="81" spans="1:10" s="96" customFormat="1" ht="17.25" customHeight="1" thickBot="1">
      <c r="A81" s="152">
        <v>477</v>
      </c>
      <c r="B81" s="150" t="s">
        <v>297</v>
      </c>
      <c r="C81" s="148" t="s">
        <v>298</v>
      </c>
      <c r="D81" s="149">
        <v>1</v>
      </c>
      <c r="E81" s="149" t="s">
        <v>34</v>
      </c>
      <c r="F81" s="151" t="s">
        <v>299</v>
      </c>
      <c r="G81" s="149" t="s">
        <v>107</v>
      </c>
      <c r="H81" s="149" t="s">
        <v>37</v>
      </c>
      <c r="J81"/>
    </row>
    <row r="82" spans="1:10" s="96" customFormat="1" ht="25.5" customHeight="1" thickBot="1">
      <c r="A82" s="152">
        <v>478</v>
      </c>
      <c r="B82" s="150" t="s">
        <v>300</v>
      </c>
      <c r="C82" s="148" t="s">
        <v>301</v>
      </c>
      <c r="D82" s="149">
        <v>1</v>
      </c>
      <c r="E82" s="149" t="s">
        <v>34</v>
      </c>
      <c r="F82" s="151" t="s">
        <v>299</v>
      </c>
      <c r="G82" s="149" t="s">
        <v>107</v>
      </c>
      <c r="H82" s="149" t="s">
        <v>37</v>
      </c>
      <c r="J82"/>
    </row>
    <row r="83" spans="1:10" s="96" customFormat="1" ht="78.75" customHeight="1" thickBot="1">
      <c r="A83" s="152">
        <v>479</v>
      </c>
      <c r="B83" s="150" t="s">
        <v>302</v>
      </c>
      <c r="C83" s="148" t="s">
        <v>303</v>
      </c>
      <c r="D83" s="149">
        <v>1</v>
      </c>
      <c r="E83" s="149" t="s">
        <v>114</v>
      </c>
      <c r="F83" s="151" t="s">
        <v>304</v>
      </c>
      <c r="G83" s="149" t="s">
        <v>107</v>
      </c>
      <c r="H83" s="149" t="s">
        <v>37</v>
      </c>
      <c r="J83"/>
    </row>
    <row r="84" spans="1:10" s="96" customFormat="1" ht="23.25" customHeight="1" thickBot="1">
      <c r="A84" s="152">
        <v>480</v>
      </c>
      <c r="B84" s="150" t="s">
        <v>305</v>
      </c>
      <c r="C84" s="148" t="s">
        <v>306</v>
      </c>
      <c r="D84" s="149">
        <v>1</v>
      </c>
      <c r="E84" s="149" t="s">
        <v>114</v>
      </c>
      <c r="F84" s="151" t="s">
        <v>307</v>
      </c>
      <c r="G84" s="149" t="s">
        <v>29</v>
      </c>
      <c r="H84" s="149" t="s">
        <v>37</v>
      </c>
      <c r="J84"/>
    </row>
    <row r="85" spans="1:10" s="96" customFormat="1" ht="69" customHeight="1" thickBot="1">
      <c r="A85" s="152">
        <v>481</v>
      </c>
      <c r="B85" s="150" t="s">
        <v>308</v>
      </c>
      <c r="C85" s="148" t="s">
        <v>309</v>
      </c>
      <c r="D85" s="149">
        <v>1</v>
      </c>
      <c r="E85" s="149" t="s">
        <v>114</v>
      </c>
      <c r="F85" s="151" t="s">
        <v>102</v>
      </c>
      <c r="G85" s="149" t="s">
        <v>29</v>
      </c>
      <c r="H85" s="149" t="s">
        <v>37</v>
      </c>
      <c r="J85"/>
    </row>
    <row r="86" spans="1:10" s="96" customFormat="1" ht="69" customHeight="1" thickBot="1">
      <c r="A86" s="152">
        <v>482</v>
      </c>
      <c r="B86" s="150" t="s">
        <v>310</v>
      </c>
      <c r="C86" s="148" t="s">
        <v>311</v>
      </c>
      <c r="D86" s="149">
        <v>1</v>
      </c>
      <c r="E86" s="149" t="s">
        <v>114</v>
      </c>
      <c r="F86" s="151" t="s">
        <v>312</v>
      </c>
      <c r="G86" s="150" t="s">
        <v>107</v>
      </c>
      <c r="H86" s="149">
        <v>1.03</v>
      </c>
      <c r="J86"/>
    </row>
    <row r="87" spans="1:10" s="96" customFormat="1" ht="69" customHeight="1" thickBot="1">
      <c r="A87" s="152">
        <v>483</v>
      </c>
      <c r="B87" s="150"/>
      <c r="C87" s="148" t="s">
        <v>313</v>
      </c>
      <c r="D87" s="193">
        <v>1</v>
      </c>
      <c r="E87" s="149" t="s">
        <v>34</v>
      </c>
      <c r="F87" s="194">
        <v>0.01</v>
      </c>
      <c r="G87" s="150" t="s">
        <v>29</v>
      </c>
      <c r="H87" s="149">
        <v>1.03</v>
      </c>
      <c r="J87"/>
    </row>
    <row r="88" spans="1:10" s="96" customFormat="1" ht="69" customHeight="1" thickBot="1">
      <c r="A88" s="152">
        <v>484</v>
      </c>
      <c r="B88" s="150" t="s">
        <v>271</v>
      </c>
      <c r="C88" s="148" t="s">
        <v>314</v>
      </c>
      <c r="D88" s="193">
        <v>2</v>
      </c>
      <c r="E88" s="149" t="s">
        <v>7</v>
      </c>
      <c r="F88" s="148" t="s">
        <v>315</v>
      </c>
      <c r="G88" s="150" t="s">
        <v>107</v>
      </c>
      <c r="H88" s="149">
        <v>1.03</v>
      </c>
      <c r="J88"/>
    </row>
    <row r="89" spans="1:10" s="96" customFormat="1" ht="69" customHeight="1" thickBot="1">
      <c r="A89" s="152">
        <v>485</v>
      </c>
      <c r="B89" s="150" t="s">
        <v>273</v>
      </c>
      <c r="C89" s="148" t="s">
        <v>316</v>
      </c>
      <c r="D89" s="193">
        <v>2</v>
      </c>
      <c r="E89" s="149" t="s">
        <v>7</v>
      </c>
      <c r="F89" s="148" t="s">
        <v>315</v>
      </c>
      <c r="G89" s="150" t="s">
        <v>107</v>
      </c>
      <c r="H89" s="149">
        <v>1.03</v>
      </c>
      <c r="J89"/>
    </row>
    <row r="90" spans="1:10" s="96" customFormat="1" ht="69" customHeight="1" thickBot="1">
      <c r="A90" s="152">
        <v>486</v>
      </c>
      <c r="B90" s="150" t="s">
        <v>275</v>
      </c>
      <c r="C90" s="148" t="s">
        <v>317</v>
      </c>
      <c r="D90" s="193">
        <v>2</v>
      </c>
      <c r="E90" s="149" t="s">
        <v>7</v>
      </c>
      <c r="F90" s="148" t="s">
        <v>315</v>
      </c>
      <c r="G90" s="150" t="s">
        <v>107</v>
      </c>
      <c r="H90" s="149">
        <v>1.03</v>
      </c>
      <c r="J90"/>
    </row>
    <row r="91" spans="1:10" s="96" customFormat="1" ht="69" customHeight="1" thickBot="1">
      <c r="A91" s="152">
        <v>487</v>
      </c>
      <c r="B91" s="150" t="s">
        <v>318</v>
      </c>
      <c r="C91" s="148" t="s">
        <v>319</v>
      </c>
      <c r="D91" s="193">
        <v>2</v>
      </c>
      <c r="E91" s="149" t="s">
        <v>9</v>
      </c>
      <c r="F91" s="148" t="s">
        <v>320</v>
      </c>
      <c r="G91" s="150" t="s">
        <v>107</v>
      </c>
      <c r="H91" s="149">
        <v>1.03</v>
      </c>
      <c r="J91"/>
    </row>
    <row r="92" spans="1:10" s="96" customFormat="1" ht="69" customHeight="1" thickBot="1">
      <c r="A92" s="152">
        <v>488</v>
      </c>
      <c r="B92" s="150" t="s">
        <v>321</v>
      </c>
      <c r="C92" s="148" t="s">
        <v>322</v>
      </c>
      <c r="D92" s="193">
        <v>2</v>
      </c>
      <c r="E92" s="149" t="s">
        <v>7</v>
      </c>
      <c r="F92" s="148" t="s">
        <v>323</v>
      </c>
      <c r="G92" s="150" t="s">
        <v>107</v>
      </c>
      <c r="H92" s="149">
        <v>1.03</v>
      </c>
      <c r="J92"/>
    </row>
    <row r="93" spans="1:10" s="96" customFormat="1" ht="75" customHeight="1" thickBot="1">
      <c r="A93" s="152">
        <v>489</v>
      </c>
      <c r="B93" s="150" t="s">
        <v>324</v>
      </c>
      <c r="C93" s="148" t="s">
        <v>325</v>
      </c>
      <c r="D93" s="193">
        <v>2</v>
      </c>
      <c r="E93" s="149" t="s">
        <v>9</v>
      </c>
      <c r="F93" s="148" t="s">
        <v>320</v>
      </c>
      <c r="G93" s="150" t="s">
        <v>107</v>
      </c>
      <c r="H93" s="149">
        <v>1.03</v>
      </c>
      <c r="J93"/>
    </row>
    <row r="94" spans="1:10" s="96" customFormat="1" ht="69" customHeight="1" thickBot="1">
      <c r="A94" s="152">
        <v>490</v>
      </c>
      <c r="B94" s="150" t="s">
        <v>326</v>
      </c>
      <c r="C94" s="148" t="s">
        <v>327</v>
      </c>
      <c r="D94" s="193">
        <v>1</v>
      </c>
      <c r="E94" s="149" t="s">
        <v>114</v>
      </c>
      <c r="F94" s="148" t="s">
        <v>328</v>
      </c>
      <c r="G94" s="150" t="s">
        <v>107</v>
      </c>
      <c r="H94" s="149">
        <v>1.03</v>
      </c>
      <c r="J94"/>
    </row>
    <row r="95" spans="1:10" s="96" customFormat="1" ht="69" customHeight="1" thickBot="1">
      <c r="A95" s="152">
        <v>491</v>
      </c>
      <c r="B95" s="150" t="s">
        <v>329</v>
      </c>
      <c r="C95" s="148" t="s">
        <v>330</v>
      </c>
      <c r="D95" s="193">
        <v>1</v>
      </c>
      <c r="E95" s="149" t="s">
        <v>34</v>
      </c>
      <c r="F95" s="148" t="s">
        <v>331</v>
      </c>
      <c r="G95" s="150" t="s">
        <v>107</v>
      </c>
      <c r="H95" s="149">
        <v>1.03</v>
      </c>
      <c r="J95"/>
    </row>
    <row r="96" spans="1:10" s="96" customFormat="1" ht="69" customHeight="1" thickBot="1">
      <c r="A96" s="152">
        <v>492</v>
      </c>
      <c r="B96" s="150" t="s">
        <v>332</v>
      </c>
      <c r="C96" s="148" t="s">
        <v>333</v>
      </c>
      <c r="D96" s="193">
        <v>1</v>
      </c>
      <c r="E96" s="149" t="s">
        <v>34</v>
      </c>
      <c r="F96" s="148" t="s">
        <v>334</v>
      </c>
      <c r="G96" s="150" t="s">
        <v>107</v>
      </c>
      <c r="H96" s="149">
        <v>1.03</v>
      </c>
      <c r="J96"/>
    </row>
    <row r="97" spans="1:8" ht="15.75" thickBot="1">
      <c r="A97" s="152">
        <v>493</v>
      </c>
      <c r="B97" s="150" t="s">
        <v>335</v>
      </c>
      <c r="C97" s="148" t="s">
        <v>336</v>
      </c>
      <c r="D97" s="193">
        <v>4</v>
      </c>
      <c r="E97" s="149" t="s">
        <v>11</v>
      </c>
      <c r="F97" s="148">
        <v>1</v>
      </c>
      <c r="G97" s="150" t="s">
        <v>29</v>
      </c>
      <c r="H97" s="149">
        <v>1.03</v>
      </c>
    </row>
    <row r="98" spans="1:8" ht="15.75" thickBot="1">
      <c r="A98" s="45" t="s">
        <v>337</v>
      </c>
      <c r="B98" s="258" t="s">
        <v>185</v>
      </c>
      <c r="C98" s="259"/>
      <c r="D98" s="259"/>
      <c r="E98" s="259"/>
      <c r="F98" s="259"/>
      <c r="G98" s="259"/>
      <c r="H98" s="260"/>
    </row>
    <row r="99" spans="1:8" ht="24.75" thickBot="1">
      <c r="A99" s="62">
        <v>500</v>
      </c>
      <c r="B99" s="3" t="s">
        <v>338</v>
      </c>
      <c r="C99" s="16" t="s">
        <v>339</v>
      </c>
      <c r="D99" s="55">
        <v>1</v>
      </c>
      <c r="E99" s="55" t="s">
        <v>114</v>
      </c>
      <c r="F99" s="127" t="s">
        <v>180</v>
      </c>
      <c r="G99" s="55" t="s">
        <v>107</v>
      </c>
      <c r="H99" s="18" t="s">
        <v>181</v>
      </c>
    </row>
    <row r="100" spans="1:8" ht="24.75" thickBot="1">
      <c r="A100" s="62">
        <v>501</v>
      </c>
      <c r="B100" s="3" t="s">
        <v>340</v>
      </c>
      <c r="C100" s="16" t="s">
        <v>341</v>
      </c>
      <c r="D100" s="55">
        <v>1</v>
      </c>
      <c r="E100" s="55" t="s">
        <v>114</v>
      </c>
      <c r="F100" s="127" t="s">
        <v>180</v>
      </c>
      <c r="G100" s="55" t="s">
        <v>107</v>
      </c>
      <c r="H100" s="18" t="s">
        <v>181</v>
      </c>
    </row>
    <row r="101" spans="1:8" ht="36.75" thickBot="1">
      <c r="A101" s="62">
        <v>502</v>
      </c>
      <c r="B101" s="3" t="s">
        <v>342</v>
      </c>
      <c r="C101" s="153" t="s">
        <v>343</v>
      </c>
      <c r="D101" s="55">
        <v>1</v>
      </c>
      <c r="E101" s="55" t="s">
        <v>114</v>
      </c>
      <c r="F101" s="127" t="s">
        <v>344</v>
      </c>
      <c r="G101" s="55" t="s">
        <v>107</v>
      </c>
      <c r="H101" s="18" t="s">
        <v>181</v>
      </c>
    </row>
    <row r="102" spans="1:8" ht="24.75" thickBot="1">
      <c r="A102" s="62">
        <v>503</v>
      </c>
      <c r="B102" s="3" t="s">
        <v>345</v>
      </c>
      <c r="C102" s="102" t="s">
        <v>346</v>
      </c>
      <c r="D102" s="55">
        <v>1</v>
      </c>
      <c r="E102" s="55" t="s">
        <v>114</v>
      </c>
      <c r="F102" s="12" t="s">
        <v>347</v>
      </c>
      <c r="G102" s="55" t="s">
        <v>107</v>
      </c>
      <c r="H102" s="18" t="s">
        <v>181</v>
      </c>
    </row>
  </sheetData>
  <mergeCells count="92">
    <mergeCell ref="A1:H1"/>
    <mergeCell ref="F45:F46"/>
    <mergeCell ref="A33:A34"/>
    <mergeCell ref="A35:A36"/>
    <mergeCell ref="A37:A38"/>
    <mergeCell ref="E31:E32"/>
    <mergeCell ref="A39:A40"/>
    <mergeCell ref="B31:B32"/>
    <mergeCell ref="B33:B34"/>
    <mergeCell ref="B35:B36"/>
    <mergeCell ref="B37:B38"/>
    <mergeCell ref="B39:B40"/>
    <mergeCell ref="D37:D38"/>
    <mergeCell ref="D39:D40"/>
    <mergeCell ref="B2:B3"/>
    <mergeCell ref="E2:E3"/>
    <mergeCell ref="E49:E50"/>
    <mergeCell ref="D45:D46"/>
    <mergeCell ref="D47:D48"/>
    <mergeCell ref="D49:D50"/>
    <mergeCell ref="B98:H98"/>
    <mergeCell ref="H49:H50"/>
    <mergeCell ref="B45:B46"/>
    <mergeCell ref="B47:B48"/>
    <mergeCell ref="B49:B50"/>
    <mergeCell ref="G45:G46"/>
    <mergeCell ref="G47:G48"/>
    <mergeCell ref="G49:G50"/>
    <mergeCell ref="F49:F50"/>
    <mergeCell ref="F47:F48"/>
    <mergeCell ref="E45:E46"/>
    <mergeCell ref="E47:E48"/>
    <mergeCell ref="A49:A50"/>
    <mergeCell ref="C31:C32"/>
    <mergeCell ref="C33:C34"/>
    <mergeCell ref="C35:C36"/>
    <mergeCell ref="C37:C38"/>
    <mergeCell ref="C39:C40"/>
    <mergeCell ref="C41:C42"/>
    <mergeCell ref="C43:C44"/>
    <mergeCell ref="C45:C46"/>
    <mergeCell ref="C47:C48"/>
    <mergeCell ref="C49:C50"/>
    <mergeCell ref="A41:A42"/>
    <mergeCell ref="A43:A44"/>
    <mergeCell ref="A45:A46"/>
    <mergeCell ref="A47:A48"/>
    <mergeCell ref="A31:A32"/>
    <mergeCell ref="B41:B42"/>
    <mergeCell ref="B43:B44"/>
    <mergeCell ref="D41:D42"/>
    <mergeCell ref="D43:D44"/>
    <mergeCell ref="H43:H44"/>
    <mergeCell ref="E41:E42"/>
    <mergeCell ref="G43:G44"/>
    <mergeCell ref="F41:F42"/>
    <mergeCell ref="E43:E44"/>
    <mergeCell ref="F43:F44"/>
    <mergeCell ref="G41:G42"/>
    <mergeCell ref="F33:F34"/>
    <mergeCell ref="F35:F36"/>
    <mergeCell ref="F37:F38"/>
    <mergeCell ref="F39:F40"/>
    <mergeCell ref="H37:H38"/>
    <mergeCell ref="H39:H40"/>
    <mergeCell ref="G31:G32"/>
    <mergeCell ref="G33:G34"/>
    <mergeCell ref="G35:G36"/>
    <mergeCell ref="H33:H34"/>
    <mergeCell ref="G37:G38"/>
    <mergeCell ref="H35:H36"/>
    <mergeCell ref="E37:E38"/>
    <mergeCell ref="E39:E40"/>
    <mergeCell ref="H45:H46"/>
    <mergeCell ref="H47:H48"/>
    <mergeCell ref="H41:H42"/>
    <mergeCell ref="G39:G40"/>
    <mergeCell ref="G2:G3"/>
    <mergeCell ref="B11:H11"/>
    <mergeCell ref="D35:D36"/>
    <mergeCell ref="E33:E34"/>
    <mergeCell ref="E35:E36"/>
    <mergeCell ref="B28:B30"/>
    <mergeCell ref="D31:D32"/>
    <mergeCell ref="D33:D34"/>
    <mergeCell ref="F2:F3"/>
    <mergeCell ref="C2:C3"/>
    <mergeCell ref="H2:H3"/>
    <mergeCell ref="H28:H30"/>
    <mergeCell ref="H31:H32"/>
    <mergeCell ref="F31:F32"/>
    <mergeCell ref="D2:D3"/>
  </mergeCells>
  <phoneticPr fontId="4" type="noConversion"/>
  <pageMargins left="0.70866141732283472" right="0.70866141732283472" top="0.74803149606299213" bottom="0.74803149606299213" header="0.31496062992125984" footer="0.31496062992125984"/>
  <pageSetup paperSize="8" scale="69" fitToHeight="0" orientation="landscape" r:id="rId1"/>
  <headerFooter>
    <oddHeader>&amp;C&amp;A</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36"/>
  <sheetViews>
    <sheetView zoomScaleNormal="100" workbookViewId="0">
      <selection sqref="A1:H1"/>
    </sheetView>
  </sheetViews>
  <sheetFormatPr defaultColWidth="11.42578125" defaultRowHeight="15"/>
  <cols>
    <col min="1" max="1" width="8.5703125" style="97" customWidth="1"/>
    <col min="2" max="2" width="15.7109375" style="6" customWidth="1"/>
    <col min="3" max="3" width="50" style="89" bestFit="1" customWidth="1"/>
    <col min="4" max="5" width="11.140625" style="6" bestFit="1" customWidth="1"/>
    <col min="6" max="6" width="37" customWidth="1"/>
    <col min="7" max="7" width="5.42578125" style="60" customWidth="1"/>
    <col min="8" max="8" width="14.42578125" style="21" bestFit="1" customWidth="1"/>
  </cols>
  <sheetData>
    <row r="1" spans="1:8" ht="16.5" thickBot="1">
      <c r="A1" s="265" t="s">
        <v>18</v>
      </c>
      <c r="B1" s="265"/>
      <c r="C1" s="265"/>
      <c r="D1" s="265"/>
      <c r="E1" s="265"/>
      <c r="F1" s="265"/>
      <c r="G1" s="265"/>
      <c r="H1" s="265"/>
    </row>
    <row r="2" spans="1:8" ht="15" customHeight="1">
      <c r="A2" s="1" t="s">
        <v>19</v>
      </c>
      <c r="B2" s="228" t="s">
        <v>20</v>
      </c>
      <c r="C2" s="228" t="s">
        <v>21</v>
      </c>
      <c r="D2" s="221" t="s">
        <v>22</v>
      </c>
      <c r="E2" s="221" t="s">
        <v>23</v>
      </c>
      <c r="F2" s="221" t="s">
        <v>24</v>
      </c>
      <c r="G2" s="221" t="s">
        <v>348</v>
      </c>
      <c r="H2" s="228" t="s">
        <v>26</v>
      </c>
    </row>
    <row r="3" spans="1:8" ht="15.75" thickBot="1">
      <c r="A3" s="86" t="s">
        <v>27</v>
      </c>
      <c r="B3" s="222"/>
      <c r="C3" s="232"/>
      <c r="D3" s="222"/>
      <c r="E3" s="222"/>
      <c r="F3" s="222"/>
      <c r="G3" s="222"/>
      <c r="H3" s="222"/>
    </row>
    <row r="4" spans="1:8" ht="24.75" thickBot="1">
      <c r="A4" s="14">
        <v>512</v>
      </c>
      <c r="B4" s="3" t="s">
        <v>349</v>
      </c>
      <c r="C4" s="5" t="s">
        <v>350</v>
      </c>
      <c r="D4" s="3">
        <v>1</v>
      </c>
      <c r="E4" s="3" t="s">
        <v>114</v>
      </c>
      <c r="F4" s="5" t="s">
        <v>347</v>
      </c>
      <c r="G4" s="8" t="s">
        <v>29</v>
      </c>
      <c r="H4" s="18" t="s">
        <v>30</v>
      </c>
    </row>
    <row r="5" spans="1:8" ht="60.75" thickBot="1">
      <c r="A5" s="2">
        <v>513</v>
      </c>
      <c r="B5" s="3"/>
      <c r="C5" s="5" t="s">
        <v>351</v>
      </c>
      <c r="D5" s="3">
        <v>1</v>
      </c>
      <c r="E5" s="3" t="s">
        <v>114</v>
      </c>
      <c r="F5" s="5" t="s">
        <v>352</v>
      </c>
      <c r="G5" s="8" t="s">
        <v>29</v>
      </c>
      <c r="H5" s="18" t="s">
        <v>30</v>
      </c>
    </row>
    <row r="6" spans="1:8" ht="15.75" thickBot="1">
      <c r="A6" s="2">
        <v>514</v>
      </c>
      <c r="B6" s="3" t="s">
        <v>142</v>
      </c>
      <c r="C6" s="5" t="s">
        <v>143</v>
      </c>
      <c r="D6" s="3">
        <v>2</v>
      </c>
      <c r="E6" s="3" t="s">
        <v>7</v>
      </c>
      <c r="F6" s="5" t="s">
        <v>353</v>
      </c>
      <c r="G6" s="8" t="s">
        <v>29</v>
      </c>
      <c r="H6" s="18" t="s">
        <v>30</v>
      </c>
    </row>
    <row r="7" spans="1:8" ht="24.75" thickBot="1">
      <c r="A7" s="2">
        <v>515</v>
      </c>
      <c r="B7" s="3" t="s">
        <v>354</v>
      </c>
      <c r="C7" s="5" t="s">
        <v>355</v>
      </c>
      <c r="D7" s="3">
        <v>2</v>
      </c>
      <c r="E7" s="3" t="s">
        <v>7</v>
      </c>
      <c r="F7" s="5" t="s">
        <v>356</v>
      </c>
      <c r="G7" s="8" t="s">
        <v>29</v>
      </c>
      <c r="H7" s="18" t="s">
        <v>30</v>
      </c>
    </row>
    <row r="8" spans="1:8" ht="24.75" thickBot="1">
      <c r="A8" s="2">
        <v>516</v>
      </c>
      <c r="B8" s="37" t="s">
        <v>145</v>
      </c>
      <c r="C8" s="5" t="s">
        <v>357</v>
      </c>
      <c r="D8" s="3">
        <v>4</v>
      </c>
      <c r="E8" s="3" t="s">
        <v>11</v>
      </c>
      <c r="F8" s="7" t="s">
        <v>49</v>
      </c>
      <c r="G8" s="8" t="s">
        <v>29</v>
      </c>
      <c r="H8" s="22" t="s">
        <v>30</v>
      </c>
    </row>
    <row r="9" spans="1:8" ht="15.75" thickBot="1">
      <c r="A9" s="161" t="s">
        <v>358</v>
      </c>
      <c r="B9" s="235" t="s">
        <v>185</v>
      </c>
      <c r="C9" s="236"/>
      <c r="D9" s="236"/>
      <c r="E9" s="236"/>
      <c r="F9" s="236"/>
      <c r="G9" s="236"/>
      <c r="H9" s="237"/>
    </row>
    <row r="10" spans="1:8" ht="15.75" thickBot="1">
      <c r="A10" s="161">
        <v>530</v>
      </c>
      <c r="B10" s="123"/>
      <c r="C10" s="162" t="s">
        <v>359</v>
      </c>
      <c r="D10" s="123">
        <v>2</v>
      </c>
      <c r="E10" s="123" t="s">
        <v>7</v>
      </c>
      <c r="F10" s="162" t="s">
        <v>360</v>
      </c>
      <c r="G10" s="123" t="s">
        <v>29</v>
      </c>
      <c r="H10" s="123"/>
    </row>
    <row r="11" spans="1:8" ht="36.75" thickBot="1">
      <c r="A11" s="2">
        <v>531</v>
      </c>
      <c r="B11" s="3"/>
      <c r="C11" s="7" t="s">
        <v>361</v>
      </c>
      <c r="D11" s="99">
        <v>1</v>
      </c>
      <c r="E11" s="99" t="s">
        <v>114</v>
      </c>
      <c r="F11" s="7" t="s">
        <v>362</v>
      </c>
      <c r="G11" s="98" t="s">
        <v>29</v>
      </c>
      <c r="H11" s="24" t="s">
        <v>30</v>
      </c>
    </row>
    <row r="12" spans="1:8" ht="55.5" customHeight="1" thickBot="1">
      <c r="A12" s="2">
        <v>532</v>
      </c>
      <c r="B12" s="3"/>
      <c r="C12" s="26" t="s">
        <v>363</v>
      </c>
      <c r="D12" s="100">
        <v>2</v>
      </c>
      <c r="E12" s="100" t="s">
        <v>7</v>
      </c>
      <c r="F12" s="202" t="s">
        <v>364</v>
      </c>
      <c r="G12" s="99" t="s">
        <v>29</v>
      </c>
      <c r="H12" s="29" t="s">
        <v>30</v>
      </c>
    </row>
    <row r="13" spans="1:8" ht="65.099999999999994" customHeight="1" thickBot="1">
      <c r="A13" s="2">
        <v>533</v>
      </c>
      <c r="B13" s="3"/>
      <c r="C13" s="30" t="s">
        <v>365</v>
      </c>
      <c r="D13" s="99">
        <v>1</v>
      </c>
      <c r="E13" s="99" t="s">
        <v>114</v>
      </c>
      <c r="F13" s="30" t="s">
        <v>366</v>
      </c>
      <c r="G13" s="100" t="s">
        <v>29</v>
      </c>
      <c r="H13" s="31" t="s">
        <v>30</v>
      </c>
    </row>
    <row r="14" spans="1:8" ht="36.75" thickBot="1">
      <c r="A14" s="2">
        <v>534</v>
      </c>
      <c r="B14" s="3"/>
      <c r="C14" s="26" t="s">
        <v>367</v>
      </c>
      <c r="D14" s="100">
        <v>2</v>
      </c>
      <c r="E14" s="100" t="s">
        <v>7</v>
      </c>
      <c r="F14" s="26" t="s">
        <v>368</v>
      </c>
      <c r="G14" s="99" t="s">
        <v>29</v>
      </c>
      <c r="H14" s="29" t="s">
        <v>30</v>
      </c>
    </row>
    <row r="15" spans="1:8" ht="60.75" thickBot="1">
      <c r="A15" s="2">
        <v>535</v>
      </c>
      <c r="B15" s="3"/>
      <c r="C15" s="30" t="s">
        <v>369</v>
      </c>
      <c r="D15" s="99">
        <v>1</v>
      </c>
      <c r="E15" s="99" t="s">
        <v>114</v>
      </c>
      <c r="F15" s="30" t="s">
        <v>370</v>
      </c>
      <c r="G15" s="100" t="s">
        <v>29</v>
      </c>
      <c r="H15" s="31" t="s">
        <v>30</v>
      </c>
    </row>
    <row r="16" spans="1:8" ht="48.75" thickBot="1">
      <c r="A16" s="2">
        <v>536</v>
      </c>
      <c r="B16" s="3"/>
      <c r="C16" s="26" t="s">
        <v>371</v>
      </c>
      <c r="D16" s="100">
        <v>2</v>
      </c>
      <c r="E16" s="100" t="s">
        <v>7</v>
      </c>
      <c r="F16" s="26" t="s">
        <v>364</v>
      </c>
      <c r="G16" s="99" t="s">
        <v>29</v>
      </c>
      <c r="H16" s="29" t="s">
        <v>30</v>
      </c>
    </row>
    <row r="17" spans="1:8" ht="60.75" thickBot="1">
      <c r="A17" s="2">
        <v>537</v>
      </c>
      <c r="B17" s="3"/>
      <c r="C17" s="30" t="s">
        <v>372</v>
      </c>
      <c r="D17" s="99">
        <v>1</v>
      </c>
      <c r="E17" s="99" t="s">
        <v>114</v>
      </c>
      <c r="F17" s="30" t="s">
        <v>370</v>
      </c>
      <c r="G17" s="100" t="s">
        <v>29</v>
      </c>
      <c r="H17" s="31" t="s">
        <v>30</v>
      </c>
    </row>
    <row r="18" spans="1:8" ht="48.75" thickBot="1">
      <c r="A18" s="2">
        <v>538</v>
      </c>
      <c r="B18" s="3"/>
      <c r="C18" s="26" t="s">
        <v>373</v>
      </c>
      <c r="D18" s="100">
        <v>2</v>
      </c>
      <c r="E18" s="100" t="s">
        <v>7</v>
      </c>
      <c r="F18" s="26" t="s">
        <v>364</v>
      </c>
      <c r="G18" s="99" t="s">
        <v>29</v>
      </c>
      <c r="H18" s="29" t="s">
        <v>30</v>
      </c>
    </row>
    <row r="19" spans="1:8" ht="60.75" thickBot="1">
      <c r="A19" s="2">
        <v>539</v>
      </c>
      <c r="B19" s="3"/>
      <c r="C19" s="30" t="s">
        <v>374</v>
      </c>
      <c r="D19" s="99">
        <v>1</v>
      </c>
      <c r="E19" s="99" t="s">
        <v>114</v>
      </c>
      <c r="F19" s="30" t="s">
        <v>370</v>
      </c>
      <c r="G19" s="100" t="s">
        <v>29</v>
      </c>
      <c r="H19" s="31" t="s">
        <v>30</v>
      </c>
    </row>
    <row r="20" spans="1:8" ht="48.75" thickBot="1">
      <c r="A20" s="2">
        <v>540</v>
      </c>
      <c r="B20" s="3"/>
      <c r="C20" s="26" t="s">
        <v>375</v>
      </c>
      <c r="D20" s="100">
        <v>2</v>
      </c>
      <c r="E20" s="100" t="s">
        <v>7</v>
      </c>
      <c r="F20" s="26" t="s">
        <v>364</v>
      </c>
      <c r="G20" s="99" t="s">
        <v>29</v>
      </c>
      <c r="H20" s="29" t="s">
        <v>30</v>
      </c>
    </row>
    <row r="21" spans="1:8" ht="60.75" thickBot="1">
      <c r="A21" s="2">
        <v>541</v>
      </c>
      <c r="B21" s="3"/>
      <c r="C21" s="30" t="s">
        <v>376</v>
      </c>
      <c r="D21" s="99">
        <v>1</v>
      </c>
      <c r="E21" s="99" t="s">
        <v>114</v>
      </c>
      <c r="F21" s="30" t="s">
        <v>370</v>
      </c>
      <c r="G21" s="100" t="s">
        <v>29</v>
      </c>
      <c r="H21" s="31" t="s">
        <v>30</v>
      </c>
    </row>
    <row r="22" spans="1:8" ht="48.75" thickBot="1">
      <c r="A22" s="2">
        <v>542</v>
      </c>
      <c r="B22" s="3"/>
      <c r="C22" s="26" t="s">
        <v>377</v>
      </c>
      <c r="D22" s="100">
        <v>2</v>
      </c>
      <c r="E22" s="100" t="s">
        <v>7</v>
      </c>
      <c r="F22" s="26" t="s">
        <v>364</v>
      </c>
      <c r="G22" s="99" t="s">
        <v>29</v>
      </c>
      <c r="H22" s="29" t="s">
        <v>30</v>
      </c>
    </row>
    <row r="23" spans="1:8" ht="60.75" thickBot="1">
      <c r="A23" s="2">
        <v>543</v>
      </c>
      <c r="B23" s="3"/>
      <c r="C23" s="30" t="s">
        <v>378</v>
      </c>
      <c r="D23" s="99">
        <v>1</v>
      </c>
      <c r="E23" s="99" t="s">
        <v>114</v>
      </c>
      <c r="F23" s="30" t="s">
        <v>370</v>
      </c>
      <c r="G23" s="100" t="s">
        <v>29</v>
      </c>
      <c r="H23" s="31" t="s">
        <v>30</v>
      </c>
    </row>
    <row r="24" spans="1:8" ht="48.75" thickBot="1">
      <c r="A24" s="2">
        <v>544</v>
      </c>
      <c r="B24" s="3"/>
      <c r="C24" s="26" t="s">
        <v>379</v>
      </c>
      <c r="D24" s="100">
        <v>2</v>
      </c>
      <c r="E24" s="100" t="s">
        <v>7</v>
      </c>
      <c r="F24" s="26" t="s">
        <v>364</v>
      </c>
      <c r="G24" s="99" t="s">
        <v>29</v>
      </c>
      <c r="H24" s="29" t="s">
        <v>30</v>
      </c>
    </row>
    <row r="25" spans="1:8" ht="60.75" thickBot="1">
      <c r="A25" s="2">
        <v>545</v>
      </c>
      <c r="B25" s="3"/>
      <c r="C25" s="30" t="s">
        <v>380</v>
      </c>
      <c r="D25" s="99">
        <v>1</v>
      </c>
      <c r="E25" s="99" t="s">
        <v>114</v>
      </c>
      <c r="F25" s="30" t="s">
        <v>370</v>
      </c>
      <c r="G25" s="100" t="s">
        <v>29</v>
      </c>
      <c r="H25" s="31" t="s">
        <v>30</v>
      </c>
    </row>
    <row r="26" spans="1:8" ht="48.75" thickBot="1">
      <c r="A26" s="2">
        <v>546</v>
      </c>
      <c r="B26" s="3"/>
      <c r="C26" s="26" t="s">
        <v>381</v>
      </c>
      <c r="D26" s="100">
        <v>2</v>
      </c>
      <c r="E26" s="100" t="s">
        <v>7</v>
      </c>
      <c r="F26" s="26" t="s">
        <v>364</v>
      </c>
      <c r="G26" s="99" t="s">
        <v>29</v>
      </c>
      <c r="H26" s="29" t="s">
        <v>30</v>
      </c>
    </row>
    <row r="27" spans="1:8" ht="60.75" thickBot="1">
      <c r="A27" s="2">
        <v>547</v>
      </c>
      <c r="B27" s="3"/>
      <c r="C27" s="30" t="s">
        <v>382</v>
      </c>
      <c r="D27" s="99">
        <v>1</v>
      </c>
      <c r="E27" s="99" t="s">
        <v>114</v>
      </c>
      <c r="F27" s="30" t="s">
        <v>370</v>
      </c>
      <c r="G27" s="100" t="s">
        <v>29</v>
      </c>
      <c r="H27" s="31" t="s">
        <v>30</v>
      </c>
    </row>
    <row r="28" spans="1:8" ht="48.75" thickBot="1">
      <c r="A28" s="2">
        <v>548</v>
      </c>
      <c r="B28" s="3"/>
      <c r="C28" s="26" t="s">
        <v>383</v>
      </c>
      <c r="D28" s="100">
        <v>2</v>
      </c>
      <c r="E28" s="100" t="s">
        <v>7</v>
      </c>
      <c r="F28" s="26" t="s">
        <v>364</v>
      </c>
      <c r="G28" s="99" t="s">
        <v>29</v>
      </c>
      <c r="H28" s="29" t="s">
        <v>30</v>
      </c>
    </row>
    <row r="29" spans="1:8" ht="60.75" thickBot="1">
      <c r="A29" s="2">
        <v>549</v>
      </c>
      <c r="B29" s="3"/>
      <c r="C29" s="30" t="s">
        <v>384</v>
      </c>
      <c r="D29" s="99">
        <v>1</v>
      </c>
      <c r="E29" s="99" t="s">
        <v>114</v>
      </c>
      <c r="F29" s="30" t="s">
        <v>370</v>
      </c>
      <c r="G29" s="100" t="s">
        <v>29</v>
      </c>
      <c r="H29" s="31" t="s">
        <v>30</v>
      </c>
    </row>
    <row r="30" spans="1:8" ht="48">
      <c r="A30" s="204">
        <v>550</v>
      </c>
      <c r="B30" s="9"/>
      <c r="C30" s="205" t="s">
        <v>385</v>
      </c>
      <c r="D30" s="98">
        <v>2</v>
      </c>
      <c r="E30" s="98" t="s">
        <v>7</v>
      </c>
      <c r="F30" s="205" t="s">
        <v>364</v>
      </c>
      <c r="G30" s="206" t="s">
        <v>29</v>
      </c>
      <c r="H30" s="207" t="s">
        <v>30</v>
      </c>
    </row>
    <row r="31" spans="1:8" ht="60.75" thickBot="1">
      <c r="A31" s="208">
        <v>551</v>
      </c>
      <c r="B31" s="209"/>
      <c r="C31" s="210" t="s">
        <v>386</v>
      </c>
      <c r="D31" s="211">
        <v>1</v>
      </c>
      <c r="E31" s="211" t="s">
        <v>114</v>
      </c>
      <c r="F31" s="210" t="s">
        <v>370</v>
      </c>
      <c r="G31" s="211" t="s">
        <v>29</v>
      </c>
      <c r="H31" s="212" t="s">
        <v>30</v>
      </c>
    </row>
    <row r="32" spans="1:8" ht="39.75" customHeight="1"/>
    <row r="33" ht="30" customHeight="1"/>
    <row r="35" ht="30" customHeight="1"/>
    <row r="36" ht="30" customHeight="1"/>
  </sheetData>
  <mergeCells count="9">
    <mergeCell ref="B9:H9"/>
    <mergeCell ref="A1:H1"/>
    <mergeCell ref="B2:B3"/>
    <mergeCell ref="D2:D3"/>
    <mergeCell ref="F2:F3"/>
    <mergeCell ref="G2:G3"/>
    <mergeCell ref="H2:H3"/>
    <mergeCell ref="C2:C3"/>
    <mergeCell ref="E2:E3"/>
  </mergeCells>
  <printOptions gridLines="1"/>
  <pageMargins left="0.70866141732283472" right="0.70866141732283472" top="0.74803149606299213" bottom="0.74803149606299213" header="0.31496062992125984" footer="0.31496062992125984"/>
  <pageSetup paperSize="8" scale="91" fitToHeight="0" orientation="landscape" r:id="rId1"/>
  <headerFooter>
    <oddHeader>&amp;C&amp;A</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109"/>
  <sheetViews>
    <sheetView topLeftCell="A86" zoomScale="85" zoomScaleNormal="85" workbookViewId="0">
      <selection activeCell="I16" sqref="I16"/>
    </sheetView>
  </sheetViews>
  <sheetFormatPr defaultColWidth="11.42578125" defaultRowHeight="15"/>
  <cols>
    <col min="1" max="1" width="21.140625" customWidth="1"/>
    <col min="2" max="2" width="35" style="21" customWidth="1"/>
    <col min="3" max="3" width="29.85546875" style="6" customWidth="1"/>
    <col min="4" max="4" width="46.5703125" style="11" customWidth="1"/>
    <col min="5" max="5" width="13.5703125" style="60" bestFit="1" customWidth="1"/>
    <col min="6" max="6" width="17" style="60" customWidth="1"/>
    <col min="7" max="7" width="57" style="6" customWidth="1"/>
    <col min="8" max="8" width="10" style="11" bestFit="1" customWidth="1"/>
    <col min="9" max="9" width="14.42578125" style="21" bestFit="1" customWidth="1"/>
  </cols>
  <sheetData>
    <row r="1" spans="1:9" ht="21">
      <c r="A1" s="273" t="s">
        <v>18</v>
      </c>
      <c r="B1" s="273"/>
      <c r="C1" s="273"/>
      <c r="D1" s="273"/>
      <c r="E1" s="273"/>
      <c r="F1" s="273"/>
      <c r="G1" s="273"/>
      <c r="H1" s="273"/>
      <c r="I1" s="273"/>
    </row>
    <row r="2" spans="1:9" ht="44.25" customHeight="1">
      <c r="A2" s="274" t="s">
        <v>387</v>
      </c>
      <c r="B2" s="274"/>
      <c r="C2" s="274"/>
      <c r="D2" s="274"/>
      <c r="E2" s="274"/>
      <c r="F2" s="274"/>
      <c r="G2" s="274"/>
      <c r="H2" s="274"/>
      <c r="I2" s="274"/>
    </row>
    <row r="3" spans="1:9" ht="12.6" customHeight="1" thickBot="1"/>
    <row r="4" spans="1:9" ht="26.1" customHeight="1">
      <c r="A4" s="266" t="s">
        <v>388</v>
      </c>
      <c r="B4" s="35" t="s">
        <v>389</v>
      </c>
      <c r="C4" s="228" t="s">
        <v>390</v>
      </c>
      <c r="D4" s="221" t="s">
        <v>21</v>
      </c>
      <c r="E4" s="221" t="s">
        <v>22</v>
      </c>
      <c r="F4" s="221" t="s">
        <v>23</v>
      </c>
      <c r="G4" s="221" t="s">
        <v>24</v>
      </c>
      <c r="H4" s="228" t="s">
        <v>25</v>
      </c>
      <c r="I4" s="228" t="s">
        <v>26</v>
      </c>
    </row>
    <row r="5" spans="1:9" ht="42.75" customHeight="1" thickBot="1">
      <c r="A5" s="267"/>
      <c r="B5" s="36">
        <v>6</v>
      </c>
      <c r="C5" s="222"/>
      <c r="D5" s="222"/>
      <c r="E5" s="222"/>
      <c r="F5" s="222"/>
      <c r="G5" s="222"/>
      <c r="H5" s="232"/>
      <c r="I5" s="232"/>
    </row>
    <row r="6" spans="1:9" ht="96.75" customHeight="1" thickBot="1">
      <c r="A6" s="44">
        <v>640</v>
      </c>
      <c r="B6" s="33">
        <f t="shared" ref="B6:B13" si="0">(($B$5-1)*512)+A6</f>
        <v>3200</v>
      </c>
      <c r="C6" s="3"/>
      <c r="D6" s="12" t="s">
        <v>391</v>
      </c>
      <c r="E6" s="8">
        <v>1</v>
      </c>
      <c r="F6" s="3" t="s">
        <v>114</v>
      </c>
      <c r="G6" s="12" t="s">
        <v>392</v>
      </c>
      <c r="H6" s="12" t="s">
        <v>29</v>
      </c>
      <c r="I6" s="18" t="s">
        <v>30</v>
      </c>
    </row>
    <row r="7" spans="1:9" ht="168.75" thickBot="1">
      <c r="A7" s="45">
        <v>641</v>
      </c>
      <c r="B7" s="33">
        <f t="shared" si="0"/>
        <v>3201</v>
      </c>
      <c r="C7" s="3" t="s">
        <v>393</v>
      </c>
      <c r="D7" s="12" t="s">
        <v>394</v>
      </c>
      <c r="E7" s="8">
        <v>1</v>
      </c>
      <c r="F7" s="3" t="s">
        <v>114</v>
      </c>
      <c r="G7" s="12" t="s">
        <v>395</v>
      </c>
      <c r="H7" s="12" t="s">
        <v>29</v>
      </c>
      <c r="I7" s="18" t="s">
        <v>30</v>
      </c>
    </row>
    <row r="8" spans="1:9">
      <c r="A8" s="252">
        <v>642</v>
      </c>
      <c r="B8" s="268">
        <f t="shared" si="0"/>
        <v>3202</v>
      </c>
      <c r="C8" s="240"/>
      <c r="D8" s="249" t="s">
        <v>396</v>
      </c>
      <c r="E8" s="239">
        <v>6</v>
      </c>
      <c r="F8" s="240" t="s">
        <v>397</v>
      </c>
      <c r="G8" s="240" t="s">
        <v>398</v>
      </c>
      <c r="H8" s="249" t="s">
        <v>29</v>
      </c>
      <c r="I8" s="242" t="s">
        <v>30</v>
      </c>
    </row>
    <row r="9" spans="1:9">
      <c r="A9" s="229"/>
      <c r="B9" s="269">
        <f t="shared" si="0"/>
        <v>2560</v>
      </c>
      <c r="C9" s="225"/>
      <c r="D9" s="250"/>
      <c r="E9" s="223"/>
      <c r="F9" s="225"/>
      <c r="G9" s="225"/>
      <c r="H9" s="250"/>
      <c r="I9" s="230"/>
    </row>
    <row r="10" spans="1:9" ht="15.75" thickBot="1">
      <c r="A10" s="253"/>
      <c r="B10" s="270">
        <f t="shared" si="0"/>
        <v>2560</v>
      </c>
      <c r="C10" s="226"/>
      <c r="D10" s="251"/>
      <c r="E10" s="224"/>
      <c r="F10" s="226"/>
      <c r="G10" s="226"/>
      <c r="H10" s="251"/>
      <c r="I10" s="231"/>
    </row>
    <row r="11" spans="1:9" s="84" customFormat="1" ht="15.75" thickBot="1">
      <c r="A11" s="73" t="s">
        <v>399</v>
      </c>
      <c r="B11" s="235" t="s">
        <v>185</v>
      </c>
      <c r="C11" s="236"/>
      <c r="D11" s="236"/>
      <c r="E11" s="236"/>
      <c r="F11" s="236"/>
      <c r="G11" s="236"/>
      <c r="H11" s="236"/>
      <c r="I11" s="237"/>
    </row>
    <row r="12" spans="1:9" ht="156.75" thickBot="1">
      <c r="A12" s="45">
        <v>645</v>
      </c>
      <c r="B12" s="33">
        <f t="shared" si="0"/>
        <v>3205</v>
      </c>
      <c r="C12" s="3"/>
      <c r="D12" s="12" t="s">
        <v>400</v>
      </c>
      <c r="E12" s="8">
        <v>2</v>
      </c>
      <c r="F12" s="3" t="s">
        <v>7</v>
      </c>
      <c r="G12" s="12" t="s">
        <v>41</v>
      </c>
      <c r="H12" s="12" t="s">
        <v>29</v>
      </c>
      <c r="I12" s="18" t="s">
        <v>30</v>
      </c>
    </row>
    <row r="13" spans="1:9" ht="24.6" customHeight="1" thickBot="1">
      <c r="A13" s="45">
        <v>646</v>
      </c>
      <c r="B13" s="33">
        <f t="shared" si="0"/>
        <v>3206</v>
      </c>
      <c r="C13" s="3"/>
      <c r="D13" s="12" t="s">
        <v>401</v>
      </c>
      <c r="E13" s="8">
        <v>1</v>
      </c>
      <c r="F13" s="3" t="s">
        <v>34</v>
      </c>
      <c r="G13" s="3"/>
      <c r="H13" s="12" t="s">
        <v>29</v>
      </c>
      <c r="I13" s="18" t="s">
        <v>30</v>
      </c>
    </row>
    <row r="14" spans="1:9" ht="15.75" thickBot="1">
      <c r="A14" s="73">
        <v>647</v>
      </c>
      <c r="B14" s="235" t="s">
        <v>185</v>
      </c>
      <c r="C14" s="236"/>
      <c r="D14" s="236"/>
      <c r="E14" s="236"/>
      <c r="F14" s="236"/>
      <c r="G14" s="236"/>
      <c r="H14" s="236"/>
      <c r="I14" s="237"/>
    </row>
    <row r="15" spans="1:9" ht="21" customHeight="1" thickBot="1">
      <c r="A15" s="45">
        <v>648</v>
      </c>
      <c r="B15" s="33">
        <f t="shared" ref="B15:B46" si="1">(($B$5-1)*512)+A15</f>
        <v>3208</v>
      </c>
      <c r="C15" s="3" t="s">
        <v>402</v>
      </c>
      <c r="D15" s="12" t="s">
        <v>403</v>
      </c>
      <c r="E15" s="8">
        <v>2</v>
      </c>
      <c r="F15" s="3" t="s">
        <v>7</v>
      </c>
      <c r="G15" s="3" t="s">
        <v>112</v>
      </c>
      <c r="H15" s="12" t="s">
        <v>107</v>
      </c>
      <c r="I15" s="18" t="s">
        <v>30</v>
      </c>
    </row>
    <row r="16" spans="1:9" ht="48.75" thickBot="1">
      <c r="A16" s="45">
        <v>649</v>
      </c>
      <c r="B16" s="33">
        <f t="shared" si="1"/>
        <v>3209</v>
      </c>
      <c r="C16" s="3" t="s">
        <v>404</v>
      </c>
      <c r="D16" s="12" t="s">
        <v>405</v>
      </c>
      <c r="E16" s="8">
        <v>1</v>
      </c>
      <c r="F16" s="3" t="s">
        <v>114</v>
      </c>
      <c r="G16" s="12" t="s">
        <v>406</v>
      </c>
      <c r="H16" s="12" t="s">
        <v>107</v>
      </c>
      <c r="I16" s="18" t="s">
        <v>30</v>
      </c>
    </row>
    <row r="17" spans="1:9" ht="24.75" thickBot="1">
      <c r="A17" s="45">
        <v>650</v>
      </c>
      <c r="B17" s="33">
        <f t="shared" si="1"/>
        <v>3210</v>
      </c>
      <c r="C17" s="8" t="s">
        <v>407</v>
      </c>
      <c r="D17" s="12" t="s">
        <v>408</v>
      </c>
      <c r="E17" s="8">
        <v>2</v>
      </c>
      <c r="F17" s="3" t="s">
        <v>7</v>
      </c>
      <c r="G17" s="3" t="s">
        <v>409</v>
      </c>
      <c r="H17" s="12" t="s">
        <v>107</v>
      </c>
      <c r="I17" s="18" t="s">
        <v>30</v>
      </c>
    </row>
    <row r="18" spans="1:9" ht="24.75" thickBot="1">
      <c r="A18" s="45">
        <v>651</v>
      </c>
      <c r="B18" s="33">
        <f t="shared" si="1"/>
        <v>3211</v>
      </c>
      <c r="C18" s="8" t="s">
        <v>410</v>
      </c>
      <c r="D18" s="12" t="s">
        <v>408</v>
      </c>
      <c r="E18" s="8">
        <v>2</v>
      </c>
      <c r="F18" s="3" t="s">
        <v>7</v>
      </c>
      <c r="G18" s="3" t="s">
        <v>409</v>
      </c>
      <c r="H18" s="12" t="s">
        <v>107</v>
      </c>
      <c r="I18" s="18" t="s">
        <v>30</v>
      </c>
    </row>
    <row r="19" spans="1:9" ht="24.75" thickBot="1">
      <c r="A19" s="45">
        <v>652</v>
      </c>
      <c r="B19" s="33">
        <f t="shared" si="1"/>
        <v>3212</v>
      </c>
      <c r="C19" s="8" t="s">
        <v>411</v>
      </c>
      <c r="D19" s="12" t="s">
        <v>408</v>
      </c>
      <c r="E19" s="8">
        <v>2</v>
      </c>
      <c r="F19" s="3" t="s">
        <v>7</v>
      </c>
      <c r="G19" s="3" t="s">
        <v>409</v>
      </c>
      <c r="H19" s="12" t="s">
        <v>107</v>
      </c>
      <c r="I19" s="18" t="s">
        <v>30</v>
      </c>
    </row>
    <row r="20" spans="1:9" ht="24.75" thickBot="1">
      <c r="A20" s="45">
        <v>653</v>
      </c>
      <c r="B20" s="33">
        <f t="shared" si="1"/>
        <v>3213</v>
      </c>
      <c r="C20" s="8" t="s">
        <v>412</v>
      </c>
      <c r="D20" s="12" t="s">
        <v>408</v>
      </c>
      <c r="E20" s="8">
        <v>2</v>
      </c>
      <c r="F20" s="3" t="s">
        <v>7</v>
      </c>
      <c r="G20" s="3" t="s">
        <v>409</v>
      </c>
      <c r="H20" s="12" t="s">
        <v>107</v>
      </c>
      <c r="I20" s="18" t="s">
        <v>30</v>
      </c>
    </row>
    <row r="21" spans="1:9" ht="24.75" thickBot="1">
      <c r="A21" s="45">
        <v>654</v>
      </c>
      <c r="B21" s="33">
        <f t="shared" si="1"/>
        <v>3214</v>
      </c>
      <c r="C21" s="8" t="s">
        <v>413</v>
      </c>
      <c r="D21" s="12" t="s">
        <v>408</v>
      </c>
      <c r="E21" s="8">
        <v>2</v>
      </c>
      <c r="F21" s="3" t="s">
        <v>7</v>
      </c>
      <c r="G21" s="3" t="s">
        <v>409</v>
      </c>
      <c r="H21" s="12" t="s">
        <v>107</v>
      </c>
      <c r="I21" s="18" t="s">
        <v>30</v>
      </c>
    </row>
    <row r="22" spans="1:9" ht="24.75" thickBot="1">
      <c r="A22" s="45">
        <v>655</v>
      </c>
      <c r="B22" s="33">
        <f t="shared" si="1"/>
        <v>3215</v>
      </c>
      <c r="C22" s="3" t="s">
        <v>414</v>
      </c>
      <c r="D22" s="12" t="s">
        <v>415</v>
      </c>
      <c r="E22" s="8">
        <v>2</v>
      </c>
      <c r="F22" s="3" t="s">
        <v>7</v>
      </c>
      <c r="G22" s="3" t="s">
        <v>409</v>
      </c>
      <c r="H22" s="12" t="s">
        <v>107</v>
      </c>
      <c r="I22" s="18" t="s">
        <v>30</v>
      </c>
    </row>
    <row r="23" spans="1:9" ht="24.75" thickBot="1">
      <c r="A23" s="45">
        <v>656</v>
      </c>
      <c r="B23" s="33">
        <f t="shared" si="1"/>
        <v>3216</v>
      </c>
      <c r="C23" s="8" t="s">
        <v>416</v>
      </c>
      <c r="D23" s="12" t="s">
        <v>417</v>
      </c>
      <c r="E23" s="8">
        <v>2</v>
      </c>
      <c r="F23" s="3" t="s">
        <v>7</v>
      </c>
      <c r="G23" s="3" t="s">
        <v>409</v>
      </c>
      <c r="H23" s="12" t="s">
        <v>107</v>
      </c>
      <c r="I23" s="18" t="s">
        <v>30</v>
      </c>
    </row>
    <row r="24" spans="1:9" ht="24.75" thickBot="1">
      <c r="A24" s="45">
        <v>657</v>
      </c>
      <c r="B24" s="33">
        <f t="shared" si="1"/>
        <v>3217</v>
      </c>
      <c r="C24" s="8" t="s">
        <v>418</v>
      </c>
      <c r="D24" s="12" t="s">
        <v>417</v>
      </c>
      <c r="E24" s="8">
        <v>2</v>
      </c>
      <c r="F24" s="3" t="s">
        <v>7</v>
      </c>
      <c r="G24" s="3" t="s">
        <v>409</v>
      </c>
      <c r="H24" s="12" t="s">
        <v>107</v>
      </c>
      <c r="I24" s="18" t="s">
        <v>30</v>
      </c>
    </row>
    <row r="25" spans="1:9" ht="24.75" thickBot="1">
      <c r="A25" s="45">
        <v>658</v>
      </c>
      <c r="B25" s="33">
        <f t="shared" si="1"/>
        <v>3218</v>
      </c>
      <c r="C25" s="8" t="s">
        <v>419</v>
      </c>
      <c r="D25" s="12" t="s">
        <v>417</v>
      </c>
      <c r="E25" s="8">
        <v>2</v>
      </c>
      <c r="F25" s="3" t="s">
        <v>7</v>
      </c>
      <c r="G25" s="3" t="s">
        <v>409</v>
      </c>
      <c r="H25" s="12" t="s">
        <v>107</v>
      </c>
      <c r="I25" s="18" t="s">
        <v>30</v>
      </c>
    </row>
    <row r="26" spans="1:9" ht="24.75" thickBot="1">
      <c r="A26" s="45">
        <v>659</v>
      </c>
      <c r="B26" s="33">
        <f t="shared" si="1"/>
        <v>3219</v>
      </c>
      <c r="C26" s="8" t="s">
        <v>420</v>
      </c>
      <c r="D26" s="12" t="s">
        <v>417</v>
      </c>
      <c r="E26" s="8">
        <v>2</v>
      </c>
      <c r="F26" s="3" t="s">
        <v>7</v>
      </c>
      <c r="G26" s="3" t="s">
        <v>409</v>
      </c>
      <c r="H26" s="12" t="s">
        <v>107</v>
      </c>
      <c r="I26" s="18" t="s">
        <v>30</v>
      </c>
    </row>
    <row r="27" spans="1:9" ht="24.75" thickBot="1">
      <c r="A27" s="45">
        <v>660</v>
      </c>
      <c r="B27" s="33">
        <f t="shared" si="1"/>
        <v>3220</v>
      </c>
      <c r="C27" s="8" t="s">
        <v>421</v>
      </c>
      <c r="D27" s="12" t="s">
        <v>417</v>
      </c>
      <c r="E27" s="8">
        <v>2</v>
      </c>
      <c r="F27" s="3" t="s">
        <v>7</v>
      </c>
      <c r="G27" s="3" t="s">
        <v>409</v>
      </c>
      <c r="H27" s="12" t="s">
        <v>107</v>
      </c>
      <c r="I27" s="18" t="s">
        <v>30</v>
      </c>
    </row>
    <row r="28" spans="1:9" ht="29.45" customHeight="1" thickBot="1">
      <c r="A28" s="45">
        <v>661</v>
      </c>
      <c r="B28" s="33">
        <f t="shared" si="1"/>
        <v>3221</v>
      </c>
      <c r="C28" s="3" t="s">
        <v>422</v>
      </c>
      <c r="D28" s="12" t="s">
        <v>423</v>
      </c>
      <c r="E28" s="8">
        <v>2</v>
      </c>
      <c r="F28" s="3" t="s">
        <v>7</v>
      </c>
      <c r="G28" s="3" t="s">
        <v>409</v>
      </c>
      <c r="H28" s="12" t="s">
        <v>107</v>
      </c>
      <c r="I28" s="18" t="s">
        <v>30</v>
      </c>
    </row>
    <row r="29" spans="1:9" ht="15.75" thickBot="1">
      <c r="A29" s="45">
        <v>662</v>
      </c>
      <c r="B29" s="33">
        <f t="shared" si="1"/>
        <v>3222</v>
      </c>
      <c r="C29" s="3" t="s">
        <v>424</v>
      </c>
      <c r="D29" s="12" t="s">
        <v>425</v>
      </c>
      <c r="E29" s="8">
        <v>2</v>
      </c>
      <c r="F29" s="3" t="s">
        <v>7</v>
      </c>
      <c r="G29" s="3" t="s">
        <v>409</v>
      </c>
      <c r="H29" s="12" t="s">
        <v>107</v>
      </c>
      <c r="I29" s="18" t="s">
        <v>30</v>
      </c>
    </row>
    <row r="30" spans="1:9" ht="15.75" thickBot="1">
      <c r="A30" s="45">
        <v>663</v>
      </c>
      <c r="B30" s="33">
        <f t="shared" si="1"/>
        <v>3223</v>
      </c>
      <c r="C30" s="3" t="s">
        <v>426</v>
      </c>
      <c r="D30" s="12" t="s">
        <v>427</v>
      </c>
      <c r="E30" s="8">
        <v>2</v>
      </c>
      <c r="F30" s="3" t="s">
        <v>7</v>
      </c>
      <c r="G30" s="3" t="s">
        <v>409</v>
      </c>
      <c r="H30" s="12" t="s">
        <v>107</v>
      </c>
      <c r="I30" s="18" t="s">
        <v>30</v>
      </c>
    </row>
    <row r="31" spans="1:9" ht="15.75" thickBot="1">
      <c r="A31" s="45">
        <v>664</v>
      </c>
      <c r="B31" s="33">
        <f t="shared" si="1"/>
        <v>3224</v>
      </c>
      <c r="C31" s="3" t="s">
        <v>428</v>
      </c>
      <c r="D31" s="12" t="s">
        <v>429</v>
      </c>
      <c r="E31" s="8">
        <v>2</v>
      </c>
      <c r="F31" s="3" t="s">
        <v>7</v>
      </c>
      <c r="G31" s="3" t="s">
        <v>409</v>
      </c>
      <c r="H31" s="12" t="s">
        <v>107</v>
      </c>
      <c r="I31" s="18" t="s">
        <v>30</v>
      </c>
    </row>
    <row r="32" spans="1:9" ht="24.75" thickBot="1">
      <c r="A32" s="45">
        <v>665</v>
      </c>
      <c r="B32" s="33">
        <f t="shared" si="1"/>
        <v>3225</v>
      </c>
      <c r="C32" s="3" t="s">
        <v>430</v>
      </c>
      <c r="D32" s="12" t="s">
        <v>431</v>
      </c>
      <c r="E32" s="8">
        <v>2</v>
      </c>
      <c r="F32" s="3" t="s">
        <v>7</v>
      </c>
      <c r="G32" s="3" t="s">
        <v>112</v>
      </c>
      <c r="H32" s="12" t="s">
        <v>107</v>
      </c>
      <c r="I32" s="18" t="s">
        <v>30</v>
      </c>
    </row>
    <row r="33" spans="1:9" ht="24.75" thickBot="1">
      <c r="A33" s="45">
        <v>666</v>
      </c>
      <c r="B33" s="33">
        <f t="shared" si="1"/>
        <v>3226</v>
      </c>
      <c r="C33" s="3" t="s">
        <v>432</v>
      </c>
      <c r="D33" s="12" t="s">
        <v>433</v>
      </c>
      <c r="E33" s="8">
        <v>2</v>
      </c>
      <c r="F33" s="3" t="s">
        <v>7</v>
      </c>
      <c r="G33" s="3" t="s">
        <v>112</v>
      </c>
      <c r="H33" s="12" t="s">
        <v>107</v>
      </c>
      <c r="I33" s="18" t="s">
        <v>30</v>
      </c>
    </row>
    <row r="34" spans="1:9" ht="24.75" thickBot="1">
      <c r="A34" s="45">
        <v>667</v>
      </c>
      <c r="B34" s="33">
        <f t="shared" si="1"/>
        <v>3227</v>
      </c>
      <c r="C34" s="3" t="s">
        <v>434</v>
      </c>
      <c r="D34" s="12" t="s">
        <v>435</v>
      </c>
      <c r="E34" s="8">
        <v>2</v>
      </c>
      <c r="F34" s="3" t="s">
        <v>7</v>
      </c>
      <c r="G34" s="3" t="s">
        <v>112</v>
      </c>
      <c r="H34" s="12" t="s">
        <v>107</v>
      </c>
      <c r="I34" s="18" t="s">
        <v>30</v>
      </c>
    </row>
    <row r="35" spans="1:9" ht="36.75" thickBot="1">
      <c r="A35" s="45">
        <v>668</v>
      </c>
      <c r="B35" s="33">
        <f t="shared" si="1"/>
        <v>3228</v>
      </c>
      <c r="C35" s="3" t="s">
        <v>436</v>
      </c>
      <c r="D35" s="12" t="s">
        <v>437</v>
      </c>
      <c r="E35" s="8">
        <v>2</v>
      </c>
      <c r="F35" s="3" t="s">
        <v>7</v>
      </c>
      <c r="G35" s="3" t="s">
        <v>112</v>
      </c>
      <c r="H35" s="12" t="s">
        <v>107</v>
      </c>
      <c r="I35" s="18" t="s">
        <v>30</v>
      </c>
    </row>
    <row r="36" spans="1:9" ht="15.75" thickBot="1">
      <c r="A36" s="45">
        <v>669</v>
      </c>
      <c r="B36" s="33">
        <f t="shared" si="1"/>
        <v>3229</v>
      </c>
      <c r="C36" s="3" t="s">
        <v>438</v>
      </c>
      <c r="D36" s="12" t="s">
        <v>439</v>
      </c>
      <c r="E36" s="8">
        <v>2</v>
      </c>
      <c r="F36" s="3" t="s">
        <v>7</v>
      </c>
      <c r="G36" s="3" t="s">
        <v>112</v>
      </c>
      <c r="H36" s="12" t="s">
        <v>107</v>
      </c>
      <c r="I36" s="18" t="s">
        <v>30</v>
      </c>
    </row>
    <row r="37" spans="1:9" ht="15.75" thickBot="1">
      <c r="A37" s="45">
        <v>670</v>
      </c>
      <c r="B37" s="33">
        <f t="shared" si="1"/>
        <v>3230</v>
      </c>
      <c r="C37" s="3" t="s">
        <v>440</v>
      </c>
      <c r="D37" s="12" t="s">
        <v>441</v>
      </c>
      <c r="E37" s="8">
        <v>2</v>
      </c>
      <c r="F37" s="3" t="s">
        <v>7</v>
      </c>
      <c r="G37" s="3" t="s">
        <v>112</v>
      </c>
      <c r="H37" s="12" t="s">
        <v>107</v>
      </c>
      <c r="I37" s="18" t="s">
        <v>181</v>
      </c>
    </row>
    <row r="38" spans="1:9" ht="48.75" thickBot="1">
      <c r="A38" s="45">
        <v>671</v>
      </c>
      <c r="B38" s="33">
        <f t="shared" si="1"/>
        <v>3231</v>
      </c>
      <c r="C38" s="3" t="s">
        <v>442</v>
      </c>
      <c r="D38" s="12" t="s">
        <v>443</v>
      </c>
      <c r="E38" s="8">
        <v>1</v>
      </c>
      <c r="F38" s="3" t="s">
        <v>114</v>
      </c>
      <c r="G38" s="51" t="s">
        <v>444</v>
      </c>
      <c r="H38" s="12" t="s">
        <v>107</v>
      </c>
      <c r="I38" s="18" t="s">
        <v>30</v>
      </c>
    </row>
    <row r="39" spans="1:9" ht="24.75" thickBot="1">
      <c r="A39" s="45">
        <v>672</v>
      </c>
      <c r="B39" s="33">
        <f t="shared" si="1"/>
        <v>3232</v>
      </c>
      <c r="C39" s="3" t="s">
        <v>445</v>
      </c>
      <c r="D39" s="12" t="s">
        <v>446</v>
      </c>
      <c r="E39" s="8">
        <v>2</v>
      </c>
      <c r="F39" s="3" t="s">
        <v>7</v>
      </c>
      <c r="G39" s="3" t="s">
        <v>112</v>
      </c>
      <c r="H39" s="12" t="s">
        <v>107</v>
      </c>
      <c r="I39" s="18" t="s">
        <v>30</v>
      </c>
    </row>
    <row r="40" spans="1:9" ht="15.75" thickBot="1">
      <c r="A40" s="45">
        <v>673</v>
      </c>
      <c r="B40" s="33">
        <f t="shared" si="1"/>
        <v>3233</v>
      </c>
      <c r="C40" s="3" t="s">
        <v>447</v>
      </c>
      <c r="D40" s="12" t="s">
        <v>448</v>
      </c>
      <c r="E40" s="8">
        <v>2</v>
      </c>
      <c r="F40" s="3" t="s">
        <v>7</v>
      </c>
      <c r="G40" s="3" t="s">
        <v>112</v>
      </c>
      <c r="H40" s="12" t="s">
        <v>107</v>
      </c>
      <c r="I40" s="18" t="s">
        <v>30</v>
      </c>
    </row>
    <row r="41" spans="1:9" ht="15.75" thickBot="1">
      <c r="A41" s="45">
        <v>674</v>
      </c>
      <c r="B41" s="33">
        <f t="shared" si="1"/>
        <v>3234</v>
      </c>
      <c r="C41" s="3" t="s">
        <v>449</v>
      </c>
      <c r="D41" s="12" t="s">
        <v>450</v>
      </c>
      <c r="E41" s="8">
        <v>1</v>
      </c>
      <c r="F41" s="3" t="s">
        <v>34</v>
      </c>
      <c r="G41" s="3">
        <v>0.1</v>
      </c>
      <c r="H41" s="12" t="s">
        <v>107</v>
      </c>
      <c r="I41" s="18" t="s">
        <v>30</v>
      </c>
    </row>
    <row r="42" spans="1:9" ht="15.75" thickBot="1">
      <c r="A42" s="45">
        <v>675</v>
      </c>
      <c r="B42" s="33">
        <f t="shared" si="1"/>
        <v>3235</v>
      </c>
      <c r="C42" s="3" t="s">
        <v>451</v>
      </c>
      <c r="D42" s="12" t="s">
        <v>452</v>
      </c>
      <c r="E42" s="8">
        <v>2</v>
      </c>
      <c r="F42" s="3" t="s">
        <v>7</v>
      </c>
      <c r="G42" s="3" t="s">
        <v>453</v>
      </c>
      <c r="H42" s="12" t="s">
        <v>107</v>
      </c>
      <c r="I42" s="18" t="s">
        <v>30</v>
      </c>
    </row>
    <row r="43" spans="1:9" ht="36.75" thickBot="1">
      <c r="A43" s="45">
        <v>676</v>
      </c>
      <c r="B43" s="33">
        <f t="shared" si="1"/>
        <v>3236</v>
      </c>
      <c r="C43" s="3" t="s">
        <v>454</v>
      </c>
      <c r="D43" s="12" t="s">
        <v>455</v>
      </c>
      <c r="E43" s="8">
        <v>2</v>
      </c>
      <c r="F43" s="3" t="s">
        <v>7</v>
      </c>
      <c r="G43" s="3" t="s">
        <v>453</v>
      </c>
      <c r="H43" s="12" t="s">
        <v>107</v>
      </c>
      <c r="I43" s="18" t="s">
        <v>30</v>
      </c>
    </row>
    <row r="44" spans="1:9" ht="24.75" thickBot="1">
      <c r="A44" s="45">
        <v>677</v>
      </c>
      <c r="B44" s="33">
        <f t="shared" si="1"/>
        <v>3237</v>
      </c>
      <c r="C44" s="3" t="s">
        <v>456</v>
      </c>
      <c r="D44" s="12" t="s">
        <v>457</v>
      </c>
      <c r="E44" s="8">
        <v>2</v>
      </c>
      <c r="F44" s="3" t="s">
        <v>7</v>
      </c>
      <c r="G44" s="3" t="s">
        <v>458</v>
      </c>
      <c r="H44" s="12" t="s">
        <v>107</v>
      </c>
      <c r="I44" s="18" t="s">
        <v>30</v>
      </c>
    </row>
    <row r="45" spans="1:9" ht="24.75" thickBot="1">
      <c r="A45" s="45">
        <v>678</v>
      </c>
      <c r="B45" s="33">
        <f t="shared" si="1"/>
        <v>3238</v>
      </c>
      <c r="C45" s="3" t="s">
        <v>459</v>
      </c>
      <c r="D45" s="12" t="s">
        <v>460</v>
      </c>
      <c r="E45" s="8">
        <v>2</v>
      </c>
      <c r="F45" s="3" t="s">
        <v>7</v>
      </c>
      <c r="G45" s="3" t="s">
        <v>112</v>
      </c>
      <c r="H45" s="12" t="s">
        <v>107</v>
      </c>
      <c r="I45" s="18" t="s">
        <v>30</v>
      </c>
    </row>
    <row r="46" spans="1:9" ht="36.75" thickBot="1">
      <c r="A46" s="45">
        <v>679</v>
      </c>
      <c r="B46" s="33">
        <f t="shared" si="1"/>
        <v>3239</v>
      </c>
      <c r="C46" s="3" t="s">
        <v>461</v>
      </c>
      <c r="D46" s="12" t="s">
        <v>462</v>
      </c>
      <c r="E46" s="8">
        <v>2</v>
      </c>
      <c r="F46" s="3" t="s">
        <v>7</v>
      </c>
      <c r="G46" s="3" t="s">
        <v>112</v>
      </c>
      <c r="H46" s="12" t="s">
        <v>107</v>
      </c>
      <c r="I46" s="18" t="s">
        <v>30</v>
      </c>
    </row>
    <row r="47" spans="1:9" ht="15.75" thickBot="1">
      <c r="A47" s="45">
        <v>680</v>
      </c>
      <c r="B47" s="33">
        <f t="shared" ref="B47:B78" si="2">(($B$5-1)*512)+A47</f>
        <v>3240</v>
      </c>
      <c r="C47" s="3" t="s">
        <v>463</v>
      </c>
      <c r="D47" s="12" t="s">
        <v>464</v>
      </c>
      <c r="E47" s="8">
        <v>2</v>
      </c>
      <c r="F47" s="3" t="s">
        <v>7</v>
      </c>
      <c r="G47" s="3" t="s">
        <v>112</v>
      </c>
      <c r="H47" s="12" t="s">
        <v>107</v>
      </c>
      <c r="I47" s="18" t="s">
        <v>30</v>
      </c>
    </row>
    <row r="48" spans="1:9" ht="15.75" thickBot="1">
      <c r="A48" s="45">
        <v>681</v>
      </c>
      <c r="B48" s="33">
        <f t="shared" si="2"/>
        <v>3241</v>
      </c>
      <c r="C48" s="3" t="s">
        <v>465</v>
      </c>
      <c r="D48" s="12" t="s">
        <v>466</v>
      </c>
      <c r="E48" s="8">
        <v>2</v>
      </c>
      <c r="F48" s="3" t="s">
        <v>7</v>
      </c>
      <c r="G48" s="3" t="s">
        <v>112</v>
      </c>
      <c r="H48" s="12" t="s">
        <v>107</v>
      </c>
      <c r="I48" s="18" t="s">
        <v>30</v>
      </c>
    </row>
    <row r="49" spans="1:9" ht="24.75" thickBot="1">
      <c r="A49" s="45">
        <v>682</v>
      </c>
      <c r="B49" s="33">
        <f t="shared" si="2"/>
        <v>3242</v>
      </c>
      <c r="C49" s="3" t="s">
        <v>467</v>
      </c>
      <c r="D49" s="12" t="s">
        <v>468</v>
      </c>
      <c r="E49" s="8">
        <v>2</v>
      </c>
      <c r="F49" s="3" t="s">
        <v>7</v>
      </c>
      <c r="G49" s="3" t="s">
        <v>112</v>
      </c>
      <c r="H49" s="12" t="s">
        <v>107</v>
      </c>
      <c r="I49" s="18" t="s">
        <v>30</v>
      </c>
    </row>
    <row r="50" spans="1:9" ht="15.75" thickBot="1">
      <c r="A50" s="45">
        <v>683</v>
      </c>
      <c r="B50" s="33">
        <f t="shared" si="2"/>
        <v>3243</v>
      </c>
      <c r="C50" s="3" t="s">
        <v>469</v>
      </c>
      <c r="D50" s="12" t="s">
        <v>470</v>
      </c>
      <c r="E50" s="8">
        <v>2</v>
      </c>
      <c r="F50" s="3" t="s">
        <v>7</v>
      </c>
      <c r="G50" s="3" t="s">
        <v>112</v>
      </c>
      <c r="H50" s="12" t="s">
        <v>107</v>
      </c>
      <c r="I50" s="18" t="s">
        <v>30</v>
      </c>
    </row>
    <row r="51" spans="1:9" ht="15.75" thickBot="1">
      <c r="A51" s="45">
        <v>684</v>
      </c>
      <c r="B51" s="33">
        <f t="shared" si="2"/>
        <v>3244</v>
      </c>
      <c r="C51" s="3" t="s">
        <v>471</v>
      </c>
      <c r="D51" s="12" t="s">
        <v>472</v>
      </c>
      <c r="E51" s="8">
        <v>2</v>
      </c>
      <c r="F51" s="3" t="s">
        <v>7</v>
      </c>
      <c r="G51" s="3" t="s">
        <v>112</v>
      </c>
      <c r="H51" s="12" t="s">
        <v>107</v>
      </c>
      <c r="I51" s="18" t="s">
        <v>30</v>
      </c>
    </row>
    <row r="52" spans="1:9" ht="24.75" thickBot="1">
      <c r="A52" s="45">
        <v>685</v>
      </c>
      <c r="B52" s="33">
        <f t="shared" si="2"/>
        <v>3245</v>
      </c>
      <c r="C52" s="3" t="s">
        <v>473</v>
      </c>
      <c r="D52" s="12" t="s">
        <v>468</v>
      </c>
      <c r="E52" s="8">
        <v>2</v>
      </c>
      <c r="F52" s="3" t="s">
        <v>7</v>
      </c>
      <c r="G52" s="3" t="s">
        <v>112</v>
      </c>
      <c r="H52" s="12" t="s">
        <v>107</v>
      </c>
      <c r="I52" s="18" t="s">
        <v>30</v>
      </c>
    </row>
    <row r="53" spans="1:9" ht="15.75" thickBot="1">
      <c r="A53" s="45">
        <v>686</v>
      </c>
      <c r="B53" s="34">
        <f t="shared" si="2"/>
        <v>3246</v>
      </c>
      <c r="C53" s="3" t="s">
        <v>474</v>
      </c>
      <c r="D53" s="12" t="s">
        <v>475</v>
      </c>
      <c r="E53" s="8">
        <v>2</v>
      </c>
      <c r="F53" s="3" t="s">
        <v>7</v>
      </c>
      <c r="G53" s="3" t="s">
        <v>112</v>
      </c>
      <c r="H53" s="12" t="s">
        <v>107</v>
      </c>
      <c r="I53" s="23" t="s">
        <v>181</v>
      </c>
    </row>
    <row r="54" spans="1:9" ht="15.75" thickBot="1">
      <c r="A54" s="45">
        <v>687</v>
      </c>
      <c r="B54" s="33">
        <f t="shared" si="2"/>
        <v>3247</v>
      </c>
      <c r="C54" s="3" t="s">
        <v>476</v>
      </c>
      <c r="D54" s="12" t="s">
        <v>477</v>
      </c>
      <c r="E54" s="8">
        <v>1</v>
      </c>
      <c r="F54" s="3" t="s">
        <v>34</v>
      </c>
      <c r="G54" s="3" t="s">
        <v>478</v>
      </c>
      <c r="H54" s="12" t="s">
        <v>107</v>
      </c>
      <c r="I54" s="18" t="s">
        <v>30</v>
      </c>
    </row>
    <row r="55" spans="1:9" ht="55.5" customHeight="1" thickBot="1">
      <c r="A55" s="45">
        <v>688</v>
      </c>
      <c r="B55" s="33">
        <f t="shared" si="2"/>
        <v>3248</v>
      </c>
      <c r="C55" s="3" t="s">
        <v>479</v>
      </c>
      <c r="D55" s="12" t="s">
        <v>480</v>
      </c>
      <c r="E55" s="8">
        <v>1</v>
      </c>
      <c r="F55" s="3" t="s">
        <v>114</v>
      </c>
      <c r="G55" s="8" t="s">
        <v>481</v>
      </c>
      <c r="H55" s="12" t="s">
        <v>107</v>
      </c>
      <c r="I55" s="18" t="s">
        <v>30</v>
      </c>
    </row>
    <row r="56" spans="1:9" ht="15.75" thickBot="1">
      <c r="A56" s="155">
        <v>689</v>
      </c>
      <c r="B56" s="156">
        <f t="shared" si="2"/>
        <v>3249</v>
      </c>
      <c r="C56" s="157"/>
      <c r="D56" s="271" t="s">
        <v>482</v>
      </c>
      <c r="E56" s="157">
        <v>20</v>
      </c>
      <c r="F56" s="157" t="s">
        <v>483</v>
      </c>
      <c r="G56" s="254"/>
      <c r="H56" s="158" t="s">
        <v>107</v>
      </c>
      <c r="I56" s="159" t="s">
        <v>30</v>
      </c>
    </row>
    <row r="57" spans="1:9" ht="15.75" thickBot="1">
      <c r="A57" s="155">
        <v>699</v>
      </c>
      <c r="B57" s="156">
        <f t="shared" si="2"/>
        <v>3259</v>
      </c>
      <c r="C57" s="157"/>
      <c r="D57" s="272"/>
      <c r="E57" s="157">
        <v>20</v>
      </c>
      <c r="F57" s="157" t="s">
        <v>483</v>
      </c>
      <c r="G57" s="275"/>
      <c r="H57" s="158" t="s">
        <v>107</v>
      </c>
      <c r="I57" s="159" t="s">
        <v>30</v>
      </c>
    </row>
    <row r="58" spans="1:9" ht="15.75" thickBot="1">
      <c r="A58" s="155">
        <v>709</v>
      </c>
      <c r="B58" s="156">
        <f t="shared" si="2"/>
        <v>3269</v>
      </c>
      <c r="C58" s="157"/>
      <c r="D58" s="272"/>
      <c r="E58" s="157">
        <v>20</v>
      </c>
      <c r="F58" s="157" t="s">
        <v>483</v>
      </c>
      <c r="G58" s="275"/>
      <c r="H58" s="158" t="s">
        <v>107</v>
      </c>
      <c r="I58" s="159" t="s">
        <v>30</v>
      </c>
    </row>
    <row r="59" spans="1:9" ht="15.75" thickBot="1">
      <c r="A59" s="155">
        <v>719</v>
      </c>
      <c r="B59" s="156">
        <f t="shared" si="2"/>
        <v>3279</v>
      </c>
      <c r="C59" s="157"/>
      <c r="D59" s="272"/>
      <c r="E59" s="157">
        <v>20</v>
      </c>
      <c r="F59" s="157" t="s">
        <v>483</v>
      </c>
      <c r="G59" s="275"/>
      <c r="H59" s="158" t="s">
        <v>107</v>
      </c>
      <c r="I59" s="159" t="s">
        <v>30</v>
      </c>
    </row>
    <row r="60" spans="1:9" ht="15.75" thickBot="1">
      <c r="A60" s="155">
        <v>729</v>
      </c>
      <c r="B60" s="156">
        <f t="shared" si="2"/>
        <v>3289</v>
      </c>
      <c r="C60" s="157"/>
      <c r="D60" s="272"/>
      <c r="E60" s="157">
        <v>20</v>
      </c>
      <c r="F60" s="157" t="s">
        <v>483</v>
      </c>
      <c r="G60" s="275"/>
      <c r="H60" s="158" t="s">
        <v>107</v>
      </c>
      <c r="I60" s="159" t="s">
        <v>30</v>
      </c>
    </row>
    <row r="61" spans="1:9" ht="15.75" thickBot="1">
      <c r="A61" s="155">
        <v>739</v>
      </c>
      <c r="B61" s="156">
        <f t="shared" si="2"/>
        <v>3299</v>
      </c>
      <c r="C61" s="157"/>
      <c r="D61" s="272"/>
      <c r="E61" s="157">
        <v>20</v>
      </c>
      <c r="F61" s="157" t="s">
        <v>483</v>
      </c>
      <c r="G61" s="275"/>
      <c r="H61" s="158" t="s">
        <v>107</v>
      </c>
      <c r="I61" s="159" t="s">
        <v>30</v>
      </c>
    </row>
    <row r="62" spans="1:9" ht="15.75" thickBot="1">
      <c r="A62" s="155">
        <v>749</v>
      </c>
      <c r="B62" s="156">
        <f t="shared" si="2"/>
        <v>3309</v>
      </c>
      <c r="C62" s="157"/>
      <c r="D62" s="272"/>
      <c r="E62" s="157">
        <v>20</v>
      </c>
      <c r="F62" s="157" t="s">
        <v>483</v>
      </c>
      <c r="G62" s="275"/>
      <c r="H62" s="158" t="s">
        <v>107</v>
      </c>
      <c r="I62" s="159" t="s">
        <v>30</v>
      </c>
    </row>
    <row r="63" spans="1:9" ht="15.75" customHeight="1" thickBot="1">
      <c r="A63" s="62">
        <v>759</v>
      </c>
      <c r="B63" s="156">
        <f t="shared" si="2"/>
        <v>3319</v>
      </c>
      <c r="C63" s="157"/>
      <c r="D63" s="276" t="s">
        <v>484</v>
      </c>
      <c r="E63" s="157">
        <v>20</v>
      </c>
      <c r="F63" s="157" t="s">
        <v>483</v>
      </c>
      <c r="G63" s="275"/>
      <c r="H63" s="158" t="s">
        <v>107</v>
      </c>
      <c r="I63" s="159" t="s">
        <v>30</v>
      </c>
    </row>
    <row r="64" spans="1:9" ht="15.75" customHeight="1" thickBot="1">
      <c r="A64" s="62">
        <v>769</v>
      </c>
      <c r="B64" s="156">
        <f t="shared" si="2"/>
        <v>3329</v>
      </c>
      <c r="C64" s="157"/>
      <c r="D64" s="277"/>
      <c r="E64" s="157">
        <v>20</v>
      </c>
      <c r="F64" s="157" t="s">
        <v>483</v>
      </c>
      <c r="G64" s="275"/>
      <c r="H64" s="158" t="s">
        <v>107</v>
      </c>
      <c r="I64" s="159" t="s">
        <v>30</v>
      </c>
    </row>
    <row r="65" spans="1:9" ht="15.75" customHeight="1" thickBot="1">
      <c r="A65" s="62">
        <v>779</v>
      </c>
      <c r="B65" s="156">
        <f t="shared" si="2"/>
        <v>3339</v>
      </c>
      <c r="C65" s="157"/>
      <c r="D65" s="277"/>
      <c r="E65" s="157">
        <v>20</v>
      </c>
      <c r="F65" s="157" t="s">
        <v>483</v>
      </c>
      <c r="G65" s="275"/>
      <c r="H65" s="158" t="s">
        <v>107</v>
      </c>
      <c r="I65" s="159" t="s">
        <v>30</v>
      </c>
    </row>
    <row r="66" spans="1:9" ht="15.75" customHeight="1" thickBot="1">
      <c r="A66" s="62">
        <v>789</v>
      </c>
      <c r="B66" s="156">
        <f t="shared" si="2"/>
        <v>3349</v>
      </c>
      <c r="C66" s="157"/>
      <c r="D66" s="277"/>
      <c r="E66" s="157">
        <v>20</v>
      </c>
      <c r="F66" s="157" t="s">
        <v>483</v>
      </c>
      <c r="G66" s="275"/>
      <c r="H66" s="158" t="s">
        <v>107</v>
      </c>
      <c r="I66" s="159" t="s">
        <v>30</v>
      </c>
    </row>
    <row r="67" spans="1:9" ht="15.75" customHeight="1" thickBot="1">
      <c r="A67" s="62">
        <v>799</v>
      </c>
      <c r="B67" s="156">
        <f t="shared" si="2"/>
        <v>3359</v>
      </c>
      <c r="C67" s="157"/>
      <c r="D67" s="277"/>
      <c r="E67" s="157">
        <v>20</v>
      </c>
      <c r="F67" s="157" t="s">
        <v>483</v>
      </c>
      <c r="G67" s="275"/>
      <c r="H67" s="158" t="s">
        <v>107</v>
      </c>
      <c r="I67" s="159" t="s">
        <v>30</v>
      </c>
    </row>
    <row r="68" spans="1:9" ht="15.75" customHeight="1" thickBot="1">
      <c r="A68" s="62">
        <v>809</v>
      </c>
      <c r="B68" s="156">
        <f t="shared" si="2"/>
        <v>3369</v>
      </c>
      <c r="C68" s="157"/>
      <c r="D68" s="277"/>
      <c r="E68" s="157">
        <v>20</v>
      </c>
      <c r="F68" s="157" t="s">
        <v>483</v>
      </c>
      <c r="G68" s="275"/>
      <c r="H68" s="158" t="s">
        <v>107</v>
      </c>
      <c r="I68" s="159" t="s">
        <v>30</v>
      </c>
    </row>
    <row r="69" spans="1:9" ht="15.75" customHeight="1" thickBot="1">
      <c r="A69" s="62">
        <v>819</v>
      </c>
      <c r="B69" s="156">
        <f t="shared" si="2"/>
        <v>3379</v>
      </c>
      <c r="C69" s="157"/>
      <c r="D69" s="277"/>
      <c r="E69" s="157">
        <v>20</v>
      </c>
      <c r="F69" s="157" t="s">
        <v>483</v>
      </c>
      <c r="G69" s="275"/>
      <c r="H69" s="158" t="s">
        <v>107</v>
      </c>
      <c r="I69" s="159" t="s">
        <v>30</v>
      </c>
    </row>
    <row r="70" spans="1:9" ht="15.75" customHeight="1" thickBot="1">
      <c r="A70" s="62">
        <v>829</v>
      </c>
      <c r="B70" s="156">
        <f t="shared" si="2"/>
        <v>3389</v>
      </c>
      <c r="C70" s="157"/>
      <c r="D70" s="276" t="s">
        <v>485</v>
      </c>
      <c r="E70" s="157">
        <v>20</v>
      </c>
      <c r="F70" s="157" t="s">
        <v>483</v>
      </c>
      <c r="G70" s="275"/>
      <c r="H70" s="158" t="s">
        <v>107</v>
      </c>
      <c r="I70" s="159" t="s">
        <v>30</v>
      </c>
    </row>
    <row r="71" spans="1:9" ht="15.75" customHeight="1" thickBot="1">
      <c r="A71" s="62">
        <v>839</v>
      </c>
      <c r="B71" s="156">
        <f t="shared" si="2"/>
        <v>3399</v>
      </c>
      <c r="C71" s="157"/>
      <c r="D71" s="277"/>
      <c r="E71" s="157">
        <v>20</v>
      </c>
      <c r="F71" s="157" t="s">
        <v>483</v>
      </c>
      <c r="G71" s="275"/>
      <c r="H71" s="158" t="s">
        <v>107</v>
      </c>
      <c r="I71" s="159" t="s">
        <v>30</v>
      </c>
    </row>
    <row r="72" spans="1:9" ht="15.75" customHeight="1" thickBot="1">
      <c r="A72" s="62">
        <v>849</v>
      </c>
      <c r="B72" s="156">
        <f t="shared" si="2"/>
        <v>3409</v>
      </c>
      <c r="C72" s="157"/>
      <c r="D72" s="277"/>
      <c r="E72" s="157">
        <v>20</v>
      </c>
      <c r="F72" s="157" t="s">
        <v>483</v>
      </c>
      <c r="G72" s="275"/>
      <c r="H72" s="158" t="s">
        <v>107</v>
      </c>
      <c r="I72" s="159" t="s">
        <v>30</v>
      </c>
    </row>
    <row r="73" spans="1:9" ht="15.75" customHeight="1" thickBot="1">
      <c r="A73" s="62">
        <v>859</v>
      </c>
      <c r="B73" s="156">
        <f t="shared" si="2"/>
        <v>3419</v>
      </c>
      <c r="C73" s="157"/>
      <c r="D73" s="277"/>
      <c r="E73" s="157">
        <v>20</v>
      </c>
      <c r="F73" s="157" t="s">
        <v>483</v>
      </c>
      <c r="G73" s="275"/>
      <c r="H73" s="158" t="s">
        <v>107</v>
      </c>
      <c r="I73" s="159" t="s">
        <v>30</v>
      </c>
    </row>
    <row r="74" spans="1:9" ht="15.75" customHeight="1" thickBot="1">
      <c r="A74" s="62">
        <v>869</v>
      </c>
      <c r="B74" s="156">
        <f t="shared" si="2"/>
        <v>3429</v>
      </c>
      <c r="C74" s="157"/>
      <c r="D74" s="277"/>
      <c r="E74" s="157">
        <v>20</v>
      </c>
      <c r="F74" s="157" t="s">
        <v>483</v>
      </c>
      <c r="G74" s="275"/>
      <c r="H74" s="158" t="s">
        <v>107</v>
      </c>
      <c r="I74" s="159" t="s">
        <v>30</v>
      </c>
    </row>
    <row r="75" spans="1:9" ht="15.75" customHeight="1" thickBot="1">
      <c r="A75" s="62">
        <v>879</v>
      </c>
      <c r="B75" s="156">
        <f t="shared" si="2"/>
        <v>3439</v>
      </c>
      <c r="C75" s="157"/>
      <c r="D75" s="277"/>
      <c r="E75" s="157">
        <v>20</v>
      </c>
      <c r="F75" s="157" t="s">
        <v>483</v>
      </c>
      <c r="G75" s="275"/>
      <c r="H75" s="158" t="s">
        <v>107</v>
      </c>
      <c r="I75" s="159" t="s">
        <v>30</v>
      </c>
    </row>
    <row r="76" spans="1:9" ht="15.75" customHeight="1" thickBot="1">
      <c r="A76" s="155">
        <v>889</v>
      </c>
      <c r="B76" s="156">
        <f t="shared" si="2"/>
        <v>3449</v>
      </c>
      <c r="C76" s="157"/>
      <c r="D76" s="277"/>
      <c r="E76" s="157">
        <v>20</v>
      </c>
      <c r="F76" s="157" t="s">
        <v>483</v>
      </c>
      <c r="G76" s="275"/>
      <c r="H76" s="158" t="s">
        <v>107</v>
      </c>
      <c r="I76" s="159" t="s">
        <v>30</v>
      </c>
    </row>
    <row r="77" spans="1:9" ht="15.75" customHeight="1" thickBot="1">
      <c r="A77" s="155">
        <v>899</v>
      </c>
      <c r="B77" s="156">
        <f t="shared" si="2"/>
        <v>3459</v>
      </c>
      <c r="C77" s="157"/>
      <c r="D77" s="276" t="s">
        <v>486</v>
      </c>
      <c r="E77" s="157">
        <v>20</v>
      </c>
      <c r="F77" s="157" t="s">
        <v>483</v>
      </c>
      <c r="G77" s="275"/>
      <c r="H77" s="158" t="s">
        <v>107</v>
      </c>
      <c r="I77" s="159" t="s">
        <v>30</v>
      </c>
    </row>
    <row r="78" spans="1:9" ht="15.75" customHeight="1" thickBot="1">
      <c r="A78" s="62">
        <v>909</v>
      </c>
      <c r="B78" s="156">
        <f t="shared" si="2"/>
        <v>3469</v>
      </c>
      <c r="C78" s="157"/>
      <c r="D78" s="277"/>
      <c r="E78" s="157">
        <v>20</v>
      </c>
      <c r="F78" s="157" t="s">
        <v>483</v>
      </c>
      <c r="G78" s="275"/>
      <c r="H78" s="158" t="s">
        <v>107</v>
      </c>
      <c r="I78" s="159" t="s">
        <v>30</v>
      </c>
    </row>
    <row r="79" spans="1:9" ht="15.75" customHeight="1" thickBot="1">
      <c r="A79" s="62">
        <v>919</v>
      </c>
      <c r="B79" s="156">
        <f t="shared" ref="B79:B83" si="3">(($B$5-1)*512)+A79</f>
        <v>3479</v>
      </c>
      <c r="C79" s="157"/>
      <c r="D79" s="277"/>
      <c r="E79" s="157">
        <v>20</v>
      </c>
      <c r="F79" s="157" t="s">
        <v>483</v>
      </c>
      <c r="G79" s="275"/>
      <c r="H79" s="158" t="s">
        <v>107</v>
      </c>
      <c r="I79" s="159" t="s">
        <v>30</v>
      </c>
    </row>
    <row r="80" spans="1:9" ht="15.75" customHeight="1" thickBot="1">
      <c r="A80" s="62">
        <v>929</v>
      </c>
      <c r="B80" s="156">
        <f t="shared" si="3"/>
        <v>3489</v>
      </c>
      <c r="C80" s="157"/>
      <c r="D80" s="277"/>
      <c r="E80" s="157">
        <v>20</v>
      </c>
      <c r="F80" s="157" t="s">
        <v>483</v>
      </c>
      <c r="G80" s="275"/>
      <c r="H80" s="158" t="s">
        <v>107</v>
      </c>
      <c r="I80" s="159" t="s">
        <v>30</v>
      </c>
    </row>
    <row r="81" spans="1:11" ht="15.75" customHeight="1" thickBot="1">
      <c r="A81" s="62">
        <v>939</v>
      </c>
      <c r="B81" s="156">
        <f t="shared" si="3"/>
        <v>3499</v>
      </c>
      <c r="C81" s="157"/>
      <c r="D81" s="277"/>
      <c r="E81" s="157">
        <v>20</v>
      </c>
      <c r="F81" s="157" t="s">
        <v>483</v>
      </c>
      <c r="G81" s="275"/>
      <c r="H81" s="158" t="s">
        <v>107</v>
      </c>
      <c r="I81" s="159" t="s">
        <v>30</v>
      </c>
    </row>
    <row r="82" spans="1:11" ht="15.75" customHeight="1" thickBot="1">
      <c r="A82" s="62">
        <v>949</v>
      </c>
      <c r="B82" s="156">
        <f t="shared" si="3"/>
        <v>3509</v>
      </c>
      <c r="C82" s="157"/>
      <c r="D82" s="277"/>
      <c r="E82" s="157">
        <v>20</v>
      </c>
      <c r="F82" s="157" t="s">
        <v>483</v>
      </c>
      <c r="G82" s="275"/>
      <c r="H82" s="158" t="s">
        <v>107</v>
      </c>
      <c r="I82" s="159" t="s">
        <v>30</v>
      </c>
    </row>
    <row r="83" spans="1:11" ht="15.75" customHeight="1" thickBot="1">
      <c r="A83" s="62">
        <v>959</v>
      </c>
      <c r="B83" s="156">
        <f t="shared" si="3"/>
        <v>3519</v>
      </c>
      <c r="C83" s="157"/>
      <c r="D83" s="277"/>
      <c r="E83" s="157">
        <v>20</v>
      </c>
      <c r="F83" s="157" t="s">
        <v>483</v>
      </c>
      <c r="G83" s="255"/>
      <c r="H83" s="158" t="s">
        <v>107</v>
      </c>
      <c r="I83" s="159" t="s">
        <v>30</v>
      </c>
    </row>
    <row r="84" spans="1:11" ht="15.75" customHeight="1" thickBot="1">
      <c r="A84" s="73" t="s">
        <v>487</v>
      </c>
      <c r="B84" s="235" t="s">
        <v>185</v>
      </c>
      <c r="C84" s="236"/>
      <c r="D84" s="236"/>
      <c r="E84" s="236"/>
      <c r="F84" s="236"/>
      <c r="G84" s="236"/>
      <c r="H84" s="236"/>
      <c r="I84" s="237"/>
    </row>
    <row r="85" spans="1:11" ht="36.75" thickBot="1">
      <c r="A85" s="62">
        <v>971</v>
      </c>
      <c r="B85" s="156">
        <f>(($B$5-1)*512)+A85</f>
        <v>3531</v>
      </c>
      <c r="C85" s="157"/>
      <c r="D85" s="158" t="s">
        <v>488</v>
      </c>
      <c r="E85" s="173">
        <v>6</v>
      </c>
      <c r="F85" s="157" t="s">
        <v>483</v>
      </c>
      <c r="G85" s="191" t="s">
        <v>489</v>
      </c>
      <c r="H85" s="158" t="s">
        <v>107</v>
      </c>
      <c r="I85" s="159" t="s">
        <v>30</v>
      </c>
    </row>
    <row r="86" spans="1:11" ht="36.75" thickBot="1">
      <c r="A86" s="62">
        <v>974</v>
      </c>
      <c r="B86" s="156">
        <f>(($B$5-1)*512)+A86</f>
        <v>3534</v>
      </c>
      <c r="C86" s="157"/>
      <c r="D86" s="158" t="s">
        <v>490</v>
      </c>
      <c r="E86" s="173">
        <v>6</v>
      </c>
      <c r="F86" s="157" t="s">
        <v>483</v>
      </c>
      <c r="G86" s="191" t="s">
        <v>489</v>
      </c>
      <c r="H86" s="158" t="s">
        <v>107</v>
      </c>
      <c r="I86" s="159" t="s">
        <v>30</v>
      </c>
    </row>
    <row r="87" spans="1:11" ht="36.75" thickBot="1">
      <c r="A87" s="62">
        <v>978</v>
      </c>
      <c r="B87" s="156">
        <f>(($B$5-1)*512)+A87</f>
        <v>3538</v>
      </c>
      <c r="C87" s="157"/>
      <c r="D87" s="158" t="s">
        <v>491</v>
      </c>
      <c r="E87" s="173">
        <v>6</v>
      </c>
      <c r="F87" s="157" t="s">
        <v>483</v>
      </c>
      <c r="G87" s="191" t="s">
        <v>489</v>
      </c>
      <c r="H87" s="158" t="s">
        <v>107</v>
      </c>
      <c r="I87" s="159" t="s">
        <v>30</v>
      </c>
    </row>
    <row r="88" spans="1:11" ht="15.75" thickBot="1">
      <c r="A88" s="73" t="s">
        <v>492</v>
      </c>
      <c r="B88" s="235" t="s">
        <v>185</v>
      </c>
      <c r="C88" s="236"/>
      <c r="D88" s="236"/>
      <c r="E88" s="236"/>
      <c r="F88" s="236"/>
      <c r="G88" s="236"/>
      <c r="H88" s="236"/>
      <c r="I88" s="237"/>
    </row>
    <row r="89" spans="1:11" s="72" customFormat="1" ht="15" customHeight="1" thickBot="1">
      <c r="A89" s="34">
        <v>981</v>
      </c>
      <c r="B89" s="34">
        <f t="shared" ref="B89" si="4">(($B$5-1)*512)+A89</f>
        <v>3541</v>
      </c>
      <c r="C89" s="23" t="s">
        <v>493</v>
      </c>
      <c r="D89" s="115" t="s">
        <v>448</v>
      </c>
      <c r="E89" s="17">
        <v>2</v>
      </c>
      <c r="F89" s="23" t="s">
        <v>7</v>
      </c>
      <c r="G89" s="23" t="s">
        <v>112</v>
      </c>
      <c r="H89" s="23" t="s">
        <v>107</v>
      </c>
      <c r="I89" s="23"/>
      <c r="K89"/>
    </row>
    <row r="90" spans="1:11" ht="15.75" thickBot="1">
      <c r="A90" s="73" t="s">
        <v>494</v>
      </c>
      <c r="B90" s="235" t="s">
        <v>185</v>
      </c>
      <c r="C90" s="236"/>
      <c r="D90" s="236"/>
      <c r="E90" s="236"/>
      <c r="F90" s="236"/>
      <c r="G90" s="236"/>
      <c r="H90" s="236"/>
      <c r="I90" s="237"/>
    </row>
    <row r="91" spans="1:11" ht="24.75" thickBot="1">
      <c r="A91" s="45">
        <v>1100</v>
      </c>
      <c r="B91" s="33">
        <f t="shared" ref="B91:B109" si="5">(($B$5-1)*512)+A91</f>
        <v>3660</v>
      </c>
      <c r="C91" s="3" t="s">
        <v>495</v>
      </c>
      <c r="D91" s="12" t="s">
        <v>496</v>
      </c>
      <c r="E91" s="8">
        <v>2</v>
      </c>
      <c r="F91" s="3" t="s">
        <v>9</v>
      </c>
      <c r="G91" s="3" t="s">
        <v>112</v>
      </c>
      <c r="H91" s="12" t="s">
        <v>29</v>
      </c>
      <c r="I91" s="18" t="s">
        <v>30</v>
      </c>
    </row>
    <row r="92" spans="1:11" ht="15.75" thickBot="1">
      <c r="A92" s="45">
        <v>1101</v>
      </c>
      <c r="B92" s="33">
        <f t="shared" si="5"/>
        <v>3661</v>
      </c>
      <c r="C92" s="3" t="s">
        <v>497</v>
      </c>
      <c r="D92" s="12" t="s">
        <v>498</v>
      </c>
      <c r="E92" s="8">
        <v>2</v>
      </c>
      <c r="F92" s="3" t="s">
        <v>7</v>
      </c>
      <c r="G92" s="3" t="s">
        <v>112</v>
      </c>
      <c r="H92" s="12" t="s">
        <v>29</v>
      </c>
      <c r="I92" s="18" t="s">
        <v>30</v>
      </c>
    </row>
    <row r="93" spans="1:11" ht="15.75" thickBot="1">
      <c r="A93" s="45">
        <v>1102</v>
      </c>
      <c r="B93" s="33">
        <f t="shared" si="5"/>
        <v>3662</v>
      </c>
      <c r="C93" s="3" t="s">
        <v>499</v>
      </c>
      <c r="D93" s="12" t="s">
        <v>500</v>
      </c>
      <c r="E93" s="8">
        <v>2</v>
      </c>
      <c r="F93" s="3" t="s">
        <v>9</v>
      </c>
      <c r="G93" s="3" t="s">
        <v>409</v>
      </c>
      <c r="H93" s="12" t="s">
        <v>29</v>
      </c>
      <c r="I93" s="18" t="s">
        <v>30</v>
      </c>
    </row>
    <row r="94" spans="1:11" ht="15.75" thickBot="1">
      <c r="A94" s="45">
        <v>1103</v>
      </c>
      <c r="B94" s="33">
        <f t="shared" si="5"/>
        <v>3663</v>
      </c>
      <c r="C94" s="3" t="s">
        <v>501</v>
      </c>
      <c r="D94" s="12" t="s">
        <v>502</v>
      </c>
      <c r="E94" s="8">
        <v>2</v>
      </c>
      <c r="F94" s="3" t="s">
        <v>9</v>
      </c>
      <c r="G94" s="3" t="s">
        <v>112</v>
      </c>
      <c r="H94" s="12" t="s">
        <v>29</v>
      </c>
      <c r="I94" s="18" t="s">
        <v>30</v>
      </c>
    </row>
    <row r="95" spans="1:11" ht="15.75" thickBot="1">
      <c r="A95" s="45">
        <v>1104</v>
      </c>
      <c r="B95" s="33">
        <f t="shared" si="5"/>
        <v>3664</v>
      </c>
      <c r="C95" s="3" t="s">
        <v>503</v>
      </c>
      <c r="D95" s="12" t="s">
        <v>504</v>
      </c>
      <c r="E95" s="8">
        <v>2</v>
      </c>
      <c r="F95" s="3" t="s">
        <v>9</v>
      </c>
      <c r="G95" s="3" t="s">
        <v>409</v>
      </c>
      <c r="H95" s="12" t="s">
        <v>29</v>
      </c>
      <c r="I95" s="18" t="s">
        <v>30</v>
      </c>
    </row>
    <row r="96" spans="1:11" ht="24.75" thickBot="1">
      <c r="A96" s="45">
        <v>1105</v>
      </c>
      <c r="B96" s="33">
        <f t="shared" si="5"/>
        <v>3665</v>
      </c>
      <c r="C96" s="3" t="s">
        <v>505</v>
      </c>
      <c r="D96" s="12" t="s">
        <v>506</v>
      </c>
      <c r="E96" s="8">
        <v>2</v>
      </c>
      <c r="F96" s="3" t="s">
        <v>9</v>
      </c>
      <c r="G96" s="3" t="s">
        <v>112</v>
      </c>
      <c r="H96" s="12" t="s">
        <v>107</v>
      </c>
      <c r="I96" s="18" t="s">
        <v>181</v>
      </c>
    </row>
    <row r="97" spans="1:9" ht="24.75" thickBot="1">
      <c r="A97" s="45">
        <v>1106</v>
      </c>
      <c r="B97" s="33">
        <f t="shared" si="5"/>
        <v>3666</v>
      </c>
      <c r="C97" s="3" t="s">
        <v>507</v>
      </c>
      <c r="D97" s="12" t="s">
        <v>508</v>
      </c>
      <c r="E97" s="8">
        <v>1</v>
      </c>
      <c r="F97" s="3" t="s">
        <v>114</v>
      </c>
      <c r="G97" s="51" t="s">
        <v>509</v>
      </c>
      <c r="H97" s="12" t="s">
        <v>29</v>
      </c>
      <c r="I97" s="18" t="s">
        <v>30</v>
      </c>
    </row>
    <row r="98" spans="1:9" ht="54.75" customHeight="1" thickBot="1">
      <c r="A98" s="45">
        <v>1107</v>
      </c>
      <c r="B98" s="33">
        <f t="shared" si="5"/>
        <v>3667</v>
      </c>
      <c r="C98" s="3" t="s">
        <v>510</v>
      </c>
      <c r="D98" s="12" t="s">
        <v>511</v>
      </c>
      <c r="E98" s="8">
        <v>1</v>
      </c>
      <c r="F98" s="3" t="s">
        <v>114</v>
      </c>
      <c r="G98" s="51" t="s">
        <v>512</v>
      </c>
      <c r="H98" s="12" t="s">
        <v>29</v>
      </c>
      <c r="I98" s="18" t="s">
        <v>30</v>
      </c>
    </row>
    <row r="99" spans="1:9" ht="67.5" customHeight="1" thickBot="1">
      <c r="A99" s="45">
        <v>1108</v>
      </c>
      <c r="B99" s="33">
        <f t="shared" si="5"/>
        <v>3668</v>
      </c>
      <c r="C99" s="3" t="s">
        <v>513</v>
      </c>
      <c r="D99" s="12" t="s">
        <v>514</v>
      </c>
      <c r="E99" s="8">
        <v>1</v>
      </c>
      <c r="F99" s="3" t="s">
        <v>114</v>
      </c>
      <c r="G99" s="51" t="s">
        <v>515</v>
      </c>
      <c r="H99" s="12" t="s">
        <v>29</v>
      </c>
      <c r="I99" s="18" t="s">
        <v>30</v>
      </c>
    </row>
    <row r="100" spans="1:9" ht="36.75" thickBot="1">
      <c r="A100" s="45">
        <v>1109</v>
      </c>
      <c r="B100" s="33">
        <f t="shared" si="5"/>
        <v>3669</v>
      </c>
      <c r="C100" s="3" t="s">
        <v>516</v>
      </c>
      <c r="D100" s="12" t="s">
        <v>517</v>
      </c>
      <c r="E100" s="8">
        <v>1</v>
      </c>
      <c r="F100" s="3" t="s">
        <v>114</v>
      </c>
      <c r="G100" s="51" t="s">
        <v>518</v>
      </c>
      <c r="H100" s="12" t="s">
        <v>29</v>
      </c>
      <c r="I100" s="18" t="s">
        <v>30</v>
      </c>
    </row>
    <row r="101" spans="1:9" ht="24.75" thickBot="1">
      <c r="A101" s="45">
        <v>1110</v>
      </c>
      <c r="B101" s="33">
        <f t="shared" si="5"/>
        <v>3670</v>
      </c>
      <c r="C101" s="3" t="s">
        <v>519</v>
      </c>
      <c r="D101" s="12" t="s">
        <v>520</v>
      </c>
      <c r="E101" s="8">
        <v>1</v>
      </c>
      <c r="F101" s="3" t="s">
        <v>114</v>
      </c>
      <c r="G101" s="51" t="s">
        <v>521</v>
      </c>
      <c r="H101" s="12" t="s">
        <v>29</v>
      </c>
      <c r="I101" s="18" t="s">
        <v>30</v>
      </c>
    </row>
    <row r="102" spans="1:9" ht="24.75" thickBot="1">
      <c r="A102" s="45">
        <v>1111</v>
      </c>
      <c r="B102" s="33">
        <f t="shared" si="5"/>
        <v>3671</v>
      </c>
      <c r="C102" s="17" t="s">
        <v>522</v>
      </c>
      <c r="D102" s="12" t="s">
        <v>523</v>
      </c>
      <c r="E102" s="8">
        <v>1</v>
      </c>
      <c r="F102" s="3" t="s">
        <v>114</v>
      </c>
      <c r="G102" s="51" t="s">
        <v>521</v>
      </c>
      <c r="H102" s="12" t="s">
        <v>29</v>
      </c>
      <c r="I102" s="18" t="s">
        <v>30</v>
      </c>
    </row>
    <row r="103" spans="1:9" ht="24.75" thickBot="1">
      <c r="A103" s="45">
        <v>1112</v>
      </c>
      <c r="B103" s="33">
        <f t="shared" si="5"/>
        <v>3672</v>
      </c>
      <c r="C103" s="17" t="s">
        <v>524</v>
      </c>
      <c r="D103" s="12" t="s">
        <v>525</v>
      </c>
      <c r="E103" s="8">
        <v>1</v>
      </c>
      <c r="F103" s="3" t="s">
        <v>114</v>
      </c>
      <c r="G103" s="51" t="s">
        <v>521</v>
      </c>
      <c r="H103" s="12" t="s">
        <v>29</v>
      </c>
      <c r="I103" s="18" t="s">
        <v>30</v>
      </c>
    </row>
    <row r="104" spans="1:9" ht="36.75" thickBot="1">
      <c r="A104" s="45">
        <v>1113</v>
      </c>
      <c r="B104" s="33">
        <f t="shared" si="5"/>
        <v>3673</v>
      </c>
      <c r="C104" s="3" t="s">
        <v>526</v>
      </c>
      <c r="D104" s="12" t="s">
        <v>527</v>
      </c>
      <c r="E104" s="8">
        <v>1</v>
      </c>
      <c r="F104" s="3" t="s">
        <v>114</v>
      </c>
      <c r="G104" s="51" t="s">
        <v>509</v>
      </c>
      <c r="H104" s="12" t="s">
        <v>29</v>
      </c>
      <c r="I104" s="18" t="s">
        <v>30</v>
      </c>
    </row>
    <row r="105" spans="1:9" ht="36.75" thickBot="1">
      <c r="A105" s="45">
        <v>1114</v>
      </c>
      <c r="B105" s="33">
        <f t="shared" si="5"/>
        <v>3674</v>
      </c>
      <c r="C105" s="3" t="s">
        <v>528</v>
      </c>
      <c r="D105" s="12" t="s">
        <v>529</v>
      </c>
      <c r="E105" s="8">
        <v>1</v>
      </c>
      <c r="F105" s="3" t="s">
        <v>114</v>
      </c>
      <c r="G105" s="51" t="s">
        <v>509</v>
      </c>
      <c r="H105" s="12" t="s">
        <v>29</v>
      </c>
      <c r="I105" s="18" t="s">
        <v>30</v>
      </c>
    </row>
    <row r="106" spans="1:9" ht="15.75" thickBot="1">
      <c r="A106" s="45">
        <v>1115</v>
      </c>
      <c r="B106" s="58">
        <f t="shared" si="5"/>
        <v>3675</v>
      </c>
      <c r="C106" s="37" t="s">
        <v>530</v>
      </c>
      <c r="D106" s="4" t="s">
        <v>531</v>
      </c>
      <c r="E106" s="3">
        <v>4</v>
      </c>
      <c r="F106" s="3" t="s">
        <v>11</v>
      </c>
      <c r="G106" s="37" t="s">
        <v>141</v>
      </c>
      <c r="H106" s="5" t="s">
        <v>29</v>
      </c>
      <c r="I106" s="22" t="s">
        <v>30</v>
      </c>
    </row>
    <row r="107" spans="1:9" ht="24.75" thickBot="1">
      <c r="A107" s="45">
        <v>1117</v>
      </c>
      <c r="B107" s="58">
        <f t="shared" si="5"/>
        <v>3677</v>
      </c>
      <c r="C107" s="37" t="s">
        <v>532</v>
      </c>
      <c r="D107" s="5" t="s">
        <v>533</v>
      </c>
      <c r="E107" s="3">
        <v>4</v>
      </c>
      <c r="F107" s="3" t="s">
        <v>11</v>
      </c>
      <c r="G107" s="32" t="s">
        <v>534</v>
      </c>
      <c r="H107" s="5" t="s">
        <v>29</v>
      </c>
      <c r="I107" s="22" t="s">
        <v>30</v>
      </c>
    </row>
    <row r="108" spans="1:9" ht="15.75" thickBot="1">
      <c r="A108" s="62">
        <v>1119</v>
      </c>
      <c r="B108" s="59">
        <f t="shared" si="5"/>
        <v>3679</v>
      </c>
      <c r="C108" s="37" t="s">
        <v>535</v>
      </c>
      <c r="D108" s="16" t="s">
        <v>536</v>
      </c>
      <c r="E108" s="3">
        <v>2</v>
      </c>
      <c r="F108" s="17" t="s">
        <v>9</v>
      </c>
      <c r="G108" s="3" t="s">
        <v>112</v>
      </c>
      <c r="H108" s="16" t="s">
        <v>29</v>
      </c>
      <c r="I108" s="23" t="s">
        <v>181</v>
      </c>
    </row>
    <row r="109" spans="1:9" ht="15.75" thickBot="1">
      <c r="A109" s="15">
        <v>1120</v>
      </c>
      <c r="B109" s="34">
        <f t="shared" si="5"/>
        <v>3680</v>
      </c>
      <c r="C109" s="32" t="s">
        <v>537</v>
      </c>
      <c r="D109" s="16" t="s">
        <v>538</v>
      </c>
      <c r="E109" s="3">
        <v>2</v>
      </c>
      <c r="F109" s="17" t="s">
        <v>9</v>
      </c>
      <c r="G109" s="3" t="s">
        <v>112</v>
      </c>
      <c r="H109" s="16" t="s">
        <v>29</v>
      </c>
      <c r="I109" s="23" t="s">
        <v>181</v>
      </c>
    </row>
  </sheetData>
  <mergeCells count="29">
    <mergeCell ref="B90:I90"/>
    <mergeCell ref="B88:I88"/>
    <mergeCell ref="B84:I84"/>
    <mergeCell ref="A1:I1"/>
    <mergeCell ref="A2:I2"/>
    <mergeCell ref="G56:G83"/>
    <mergeCell ref="D70:D76"/>
    <mergeCell ref="D63:D69"/>
    <mergeCell ref="D77:D83"/>
    <mergeCell ref="A8:A10"/>
    <mergeCell ref="E8:E10"/>
    <mergeCell ref="B14:I14"/>
    <mergeCell ref="B11:I11"/>
    <mergeCell ref="I4:I5"/>
    <mergeCell ref="I8:I10"/>
    <mergeCell ref="D8:D10"/>
    <mergeCell ref="F8:F10"/>
    <mergeCell ref="H8:H10"/>
    <mergeCell ref="G8:G10"/>
    <mergeCell ref="E4:E5"/>
    <mergeCell ref="F4:F5"/>
    <mergeCell ref="G4:G5"/>
    <mergeCell ref="H4:H5"/>
    <mergeCell ref="A4:A5"/>
    <mergeCell ref="B8:B10"/>
    <mergeCell ref="D56:D62"/>
    <mergeCell ref="C4:C5"/>
    <mergeCell ref="C8:C10"/>
    <mergeCell ref="D4:D5"/>
  </mergeCells>
  <phoneticPr fontId="4" type="noConversion"/>
  <printOptions gridLines="1"/>
  <pageMargins left="0.70866141732283472" right="0.70866141732283472" top="0.74803149606299213" bottom="0.74803149606299213" header="0.31496062992125984" footer="0.31496062992125984"/>
  <pageSetup paperSize="8" scale="55" fitToHeight="0" orientation="landscape" r:id="rId1"/>
  <headerFooter>
    <oddHeader>&amp;C&amp;A</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26"/>
  <sheetViews>
    <sheetView zoomScale="85" zoomScaleNormal="85" workbookViewId="0">
      <selection sqref="A1:H1"/>
    </sheetView>
  </sheetViews>
  <sheetFormatPr defaultColWidth="11.42578125" defaultRowHeight="15"/>
  <cols>
    <col min="1" max="1" width="8.42578125" bestFit="1" customWidth="1"/>
    <col min="2" max="2" width="14.42578125" style="6" customWidth="1"/>
    <col min="3" max="3" width="50" bestFit="1" customWidth="1"/>
    <col min="4" max="4" width="9.42578125" bestFit="1" customWidth="1"/>
    <col min="5" max="5" width="14.42578125" style="6" customWidth="1"/>
    <col min="6" max="6" width="62" customWidth="1"/>
    <col min="7" max="7" width="10" bestFit="1" customWidth="1"/>
    <col min="8" max="8" width="14.42578125" style="21" bestFit="1" customWidth="1"/>
  </cols>
  <sheetData>
    <row r="1" spans="1:8" ht="19.5" thickBot="1">
      <c r="A1" s="278" t="s">
        <v>18</v>
      </c>
      <c r="B1" s="278"/>
      <c r="C1" s="278"/>
      <c r="D1" s="278"/>
      <c r="E1" s="278"/>
      <c r="F1" s="278"/>
      <c r="G1" s="278"/>
      <c r="H1" s="278"/>
    </row>
    <row r="2" spans="1:8" ht="15" customHeight="1">
      <c r="A2" s="1" t="s">
        <v>19</v>
      </c>
      <c r="B2" s="228" t="s">
        <v>20</v>
      </c>
      <c r="C2" s="221" t="s">
        <v>21</v>
      </c>
      <c r="D2" s="221" t="s">
        <v>22</v>
      </c>
      <c r="E2" s="221" t="s">
        <v>23</v>
      </c>
      <c r="F2" s="221" t="s">
        <v>24</v>
      </c>
      <c r="G2" s="221" t="s">
        <v>25</v>
      </c>
      <c r="H2" s="228" t="s">
        <v>26</v>
      </c>
    </row>
    <row r="3" spans="1:8" ht="15.75" thickBot="1">
      <c r="A3" s="86" t="s">
        <v>27</v>
      </c>
      <c r="B3" s="222"/>
      <c r="C3" s="222"/>
      <c r="D3" s="222"/>
      <c r="E3" s="222"/>
      <c r="F3" s="222"/>
      <c r="G3" s="222" t="s">
        <v>25</v>
      </c>
      <c r="H3" s="222"/>
    </row>
    <row r="4" spans="1:8" ht="36.75" thickBot="1">
      <c r="A4" s="14">
        <v>7500</v>
      </c>
      <c r="B4" s="3" t="s">
        <v>539</v>
      </c>
      <c r="C4" s="5" t="s">
        <v>540</v>
      </c>
      <c r="D4" s="8">
        <v>2</v>
      </c>
      <c r="E4" s="3" t="s">
        <v>9</v>
      </c>
      <c r="F4" s="3" t="s">
        <v>112</v>
      </c>
      <c r="G4" s="5" t="s">
        <v>107</v>
      </c>
      <c r="H4" s="18" t="s">
        <v>30</v>
      </c>
    </row>
    <row r="5" spans="1:8" ht="48.75" thickBot="1">
      <c r="A5" s="2">
        <v>7501</v>
      </c>
      <c r="B5" s="3" t="s">
        <v>541</v>
      </c>
      <c r="C5" s="5" t="s">
        <v>542</v>
      </c>
      <c r="D5" s="8">
        <v>2</v>
      </c>
      <c r="E5" s="3" t="s">
        <v>9</v>
      </c>
      <c r="F5" s="3" t="s">
        <v>112</v>
      </c>
      <c r="G5" s="5" t="s">
        <v>107</v>
      </c>
      <c r="H5" s="18" t="s">
        <v>30</v>
      </c>
    </row>
    <row r="6" spans="1:8" ht="24.75" thickBot="1">
      <c r="A6" s="2">
        <v>7502</v>
      </c>
      <c r="B6" s="3" t="s">
        <v>543</v>
      </c>
      <c r="C6" s="5" t="s">
        <v>544</v>
      </c>
      <c r="D6" s="8">
        <v>1</v>
      </c>
      <c r="E6" s="3" t="s">
        <v>34</v>
      </c>
      <c r="F6" s="3" t="s">
        <v>458</v>
      </c>
      <c r="G6" s="5" t="s">
        <v>107</v>
      </c>
      <c r="H6" s="18" t="s">
        <v>30</v>
      </c>
    </row>
    <row r="7" spans="1:8" ht="36.75" thickBot="1">
      <c r="A7" s="2">
        <v>7503</v>
      </c>
      <c r="B7" s="3" t="s">
        <v>545</v>
      </c>
      <c r="C7" s="5" t="s">
        <v>546</v>
      </c>
      <c r="D7" s="8">
        <v>1</v>
      </c>
      <c r="E7" s="3" t="s">
        <v>114</v>
      </c>
      <c r="F7" s="51" t="s">
        <v>547</v>
      </c>
      <c r="G7" s="5" t="s">
        <v>107</v>
      </c>
      <c r="H7" s="18" t="s">
        <v>30</v>
      </c>
    </row>
    <row r="8" spans="1:8" ht="15.75" thickBot="1">
      <c r="A8" s="2">
        <v>7504</v>
      </c>
      <c r="B8" s="3" t="s">
        <v>548</v>
      </c>
      <c r="C8" s="4" t="s">
        <v>549</v>
      </c>
      <c r="D8" s="3">
        <v>2</v>
      </c>
      <c r="E8" s="3" t="s">
        <v>7</v>
      </c>
      <c r="F8" s="3" t="s">
        <v>112</v>
      </c>
      <c r="G8" s="5" t="s">
        <v>107</v>
      </c>
      <c r="H8" s="18" t="s">
        <v>30</v>
      </c>
    </row>
    <row r="9" spans="1:8" ht="15.75" thickBot="1">
      <c r="A9" s="2">
        <v>7505</v>
      </c>
      <c r="B9" s="3" t="s">
        <v>550</v>
      </c>
      <c r="C9" s="4" t="s">
        <v>551</v>
      </c>
      <c r="D9" s="3">
        <v>2</v>
      </c>
      <c r="E9" s="3" t="s">
        <v>7</v>
      </c>
      <c r="F9" s="3" t="s">
        <v>112</v>
      </c>
      <c r="G9" s="5" t="s">
        <v>107</v>
      </c>
      <c r="H9" s="18" t="s">
        <v>30</v>
      </c>
    </row>
    <row r="10" spans="1:8" ht="24.75" thickBot="1">
      <c r="A10" s="2">
        <v>7506</v>
      </c>
      <c r="B10" s="3" t="s">
        <v>552</v>
      </c>
      <c r="C10" s="5" t="s">
        <v>553</v>
      </c>
      <c r="D10" s="8">
        <v>1</v>
      </c>
      <c r="E10" s="3" t="s">
        <v>34</v>
      </c>
      <c r="F10" s="3">
        <v>0.1</v>
      </c>
      <c r="G10" s="5" t="s">
        <v>107</v>
      </c>
      <c r="H10" s="18" t="s">
        <v>30</v>
      </c>
    </row>
    <row r="11" spans="1:8" ht="15.75" thickBot="1">
      <c r="A11" s="2">
        <v>7507</v>
      </c>
      <c r="B11" s="3" t="s">
        <v>554</v>
      </c>
      <c r="C11" s="4" t="s">
        <v>555</v>
      </c>
      <c r="D11" s="3">
        <v>2</v>
      </c>
      <c r="E11" s="3" t="s">
        <v>7</v>
      </c>
      <c r="F11" s="3" t="s">
        <v>112</v>
      </c>
      <c r="G11" s="5" t="s">
        <v>107</v>
      </c>
      <c r="H11" s="18" t="s">
        <v>30</v>
      </c>
    </row>
    <row r="12" spans="1:8" ht="40.35" customHeight="1" thickBot="1">
      <c r="A12" s="2">
        <v>7508</v>
      </c>
      <c r="B12" s="37"/>
      <c r="C12" s="249" t="s">
        <v>556</v>
      </c>
      <c r="D12" s="37">
        <v>20</v>
      </c>
      <c r="E12" s="37" t="s">
        <v>483</v>
      </c>
      <c r="F12" s="241"/>
      <c r="G12" s="57" t="s">
        <v>107</v>
      </c>
      <c r="H12" s="22" t="s">
        <v>30</v>
      </c>
    </row>
    <row r="13" spans="1:8" ht="40.35" customHeight="1" thickBot="1">
      <c r="A13" s="2">
        <v>7518</v>
      </c>
      <c r="B13" s="37"/>
      <c r="C13" s="250"/>
      <c r="D13" s="37">
        <v>20</v>
      </c>
      <c r="E13" s="37" t="s">
        <v>483</v>
      </c>
      <c r="F13" s="233"/>
      <c r="G13" s="57" t="s">
        <v>107</v>
      </c>
      <c r="H13" s="22" t="s">
        <v>30</v>
      </c>
    </row>
    <row r="14" spans="1:8" ht="40.35" customHeight="1" thickBot="1">
      <c r="A14" s="2">
        <v>7528</v>
      </c>
      <c r="B14" s="37"/>
      <c r="C14" s="250"/>
      <c r="D14" s="37">
        <v>20</v>
      </c>
      <c r="E14" s="37" t="s">
        <v>483</v>
      </c>
      <c r="F14" s="233"/>
      <c r="G14" s="57" t="s">
        <v>107</v>
      </c>
      <c r="H14" s="22" t="s">
        <v>30</v>
      </c>
    </row>
    <row r="15" spans="1:8" ht="40.35" customHeight="1" thickBot="1">
      <c r="A15" s="2">
        <v>7538</v>
      </c>
      <c r="B15" s="37"/>
      <c r="C15" s="250"/>
      <c r="D15" s="37">
        <v>20</v>
      </c>
      <c r="E15" s="37" t="s">
        <v>483</v>
      </c>
      <c r="F15" s="233"/>
      <c r="G15" s="57" t="s">
        <v>107</v>
      </c>
      <c r="H15" s="22" t="s">
        <v>30</v>
      </c>
    </row>
    <row r="16" spans="1:8" ht="40.35" customHeight="1" thickBot="1">
      <c r="A16" s="2">
        <v>7548</v>
      </c>
      <c r="B16" s="37"/>
      <c r="C16" s="250"/>
      <c r="D16" s="37">
        <v>20</v>
      </c>
      <c r="E16" s="37" t="s">
        <v>483</v>
      </c>
      <c r="F16" s="233"/>
      <c r="G16" s="57" t="s">
        <v>107</v>
      </c>
      <c r="H16" s="22" t="s">
        <v>30</v>
      </c>
    </row>
    <row r="17" spans="1:8" ht="40.35" customHeight="1" thickBot="1">
      <c r="A17" s="2">
        <v>7558</v>
      </c>
      <c r="B17" s="37"/>
      <c r="C17" s="250"/>
      <c r="D17" s="37">
        <v>20</v>
      </c>
      <c r="E17" s="37" t="s">
        <v>483</v>
      </c>
      <c r="F17" s="233"/>
      <c r="G17" s="57" t="s">
        <v>107</v>
      </c>
      <c r="H17" s="22" t="s">
        <v>30</v>
      </c>
    </row>
    <row r="18" spans="1:8" ht="40.35" customHeight="1" thickBot="1">
      <c r="A18" s="2">
        <v>7568</v>
      </c>
      <c r="B18" s="37"/>
      <c r="C18" s="250"/>
      <c r="D18" s="37">
        <v>20</v>
      </c>
      <c r="E18" s="37" t="s">
        <v>483</v>
      </c>
      <c r="F18" s="234"/>
      <c r="G18" s="57" t="s">
        <v>107</v>
      </c>
      <c r="H18" s="22" t="s">
        <v>30</v>
      </c>
    </row>
    <row r="19" spans="1:8" ht="24.75" customHeight="1" thickBot="1">
      <c r="A19" s="2" t="s">
        <v>557</v>
      </c>
      <c r="B19" s="279" t="s">
        <v>185</v>
      </c>
      <c r="C19" s="280"/>
      <c r="D19" s="280"/>
      <c r="E19" s="280"/>
      <c r="F19" s="280"/>
      <c r="G19" s="280"/>
      <c r="H19" s="281"/>
    </row>
    <row r="20" spans="1:8" ht="36.75" thickBot="1">
      <c r="A20" s="2">
        <v>7600</v>
      </c>
      <c r="B20" s="3" t="s">
        <v>558</v>
      </c>
      <c r="C20" s="5" t="s">
        <v>559</v>
      </c>
      <c r="D20" s="8">
        <v>2</v>
      </c>
      <c r="E20" s="3" t="s">
        <v>9</v>
      </c>
      <c r="F20" s="3" t="s">
        <v>112</v>
      </c>
      <c r="G20" s="5" t="s">
        <v>29</v>
      </c>
      <c r="H20" s="18" t="s">
        <v>30</v>
      </c>
    </row>
    <row r="21" spans="1:8" ht="24.75" thickBot="1">
      <c r="A21" s="2">
        <v>7601</v>
      </c>
      <c r="B21" s="3" t="s">
        <v>560</v>
      </c>
      <c r="C21" s="5" t="s">
        <v>561</v>
      </c>
      <c r="D21" s="8">
        <v>2</v>
      </c>
      <c r="E21" s="3" t="s">
        <v>9</v>
      </c>
      <c r="F21" s="3" t="s">
        <v>112</v>
      </c>
      <c r="G21" s="5" t="s">
        <v>29</v>
      </c>
      <c r="H21" s="18" t="s">
        <v>30</v>
      </c>
    </row>
    <row r="22" spans="1:8" ht="24.75" thickBot="1">
      <c r="A22" s="2">
        <v>7602</v>
      </c>
      <c r="B22" s="3" t="s">
        <v>562</v>
      </c>
      <c r="C22" s="5" t="s">
        <v>563</v>
      </c>
      <c r="D22" s="8">
        <v>1</v>
      </c>
      <c r="E22" s="3" t="s">
        <v>114</v>
      </c>
      <c r="F22" s="51" t="s">
        <v>564</v>
      </c>
      <c r="G22" s="5" t="s">
        <v>29</v>
      </c>
      <c r="H22" s="18" t="s">
        <v>30</v>
      </c>
    </row>
    <row r="23" spans="1:8" ht="24.75" thickBot="1">
      <c r="A23" s="2">
        <v>7603</v>
      </c>
      <c r="B23" s="3" t="s">
        <v>565</v>
      </c>
      <c r="C23" s="5" t="s">
        <v>566</v>
      </c>
      <c r="D23" s="8">
        <v>1</v>
      </c>
      <c r="E23" s="3" t="s">
        <v>114</v>
      </c>
      <c r="F23" s="51" t="s">
        <v>567</v>
      </c>
      <c r="G23" s="5" t="s">
        <v>29</v>
      </c>
      <c r="H23" s="18" t="s">
        <v>30</v>
      </c>
    </row>
    <row r="24" spans="1:8" ht="36.75" thickBot="1">
      <c r="A24" s="2">
        <v>7604</v>
      </c>
      <c r="B24" s="240"/>
      <c r="C24" s="5" t="s">
        <v>568</v>
      </c>
      <c r="D24" s="8">
        <v>1</v>
      </c>
      <c r="E24" s="3" t="s">
        <v>34</v>
      </c>
      <c r="F24" s="41">
        <v>0.01</v>
      </c>
      <c r="G24" s="5" t="s">
        <v>29</v>
      </c>
      <c r="H24" s="242" t="s">
        <v>30</v>
      </c>
    </row>
    <row r="25" spans="1:8" ht="48.75" thickBot="1">
      <c r="A25" s="2">
        <v>7605</v>
      </c>
      <c r="B25" s="225"/>
      <c r="C25" s="5" t="s">
        <v>569</v>
      </c>
      <c r="D25" s="8">
        <v>2</v>
      </c>
      <c r="E25" s="3" t="s">
        <v>9</v>
      </c>
      <c r="F25" s="3" t="s">
        <v>112</v>
      </c>
      <c r="G25" s="5" t="s">
        <v>29</v>
      </c>
      <c r="H25" s="230"/>
    </row>
    <row r="26" spans="1:8" ht="132.75" thickBot="1">
      <c r="A26" s="2">
        <v>7606</v>
      </c>
      <c r="B26" s="226"/>
      <c r="C26" s="5" t="s">
        <v>570</v>
      </c>
      <c r="D26" s="8">
        <v>1</v>
      </c>
      <c r="E26" s="3" t="s">
        <v>34</v>
      </c>
      <c r="F26" s="51" t="s">
        <v>225</v>
      </c>
      <c r="G26" s="5" t="s">
        <v>29</v>
      </c>
      <c r="H26" s="231"/>
    </row>
  </sheetData>
  <mergeCells count="13">
    <mergeCell ref="A1:H1"/>
    <mergeCell ref="F12:F18"/>
    <mergeCell ref="F2:F3"/>
    <mergeCell ref="B19:H19"/>
    <mergeCell ref="G2:G3"/>
    <mergeCell ref="D2:D3"/>
    <mergeCell ref="B2:B3"/>
    <mergeCell ref="H24:H26"/>
    <mergeCell ref="B24:B26"/>
    <mergeCell ref="H2:H3"/>
    <mergeCell ref="C2:C3"/>
    <mergeCell ref="E2:E3"/>
    <mergeCell ref="C12:C18"/>
  </mergeCells>
  <printOptions gridLines="1"/>
  <pageMargins left="0.70866141732283472" right="0.70866141732283472" top="0.74803149606299213" bottom="0.74803149606299213" header="0.31496062992125984" footer="0.31496062992125984"/>
  <pageSetup paperSize="8" scale="84" fitToHeight="0" orientation="landscape" r:id="rId1"/>
  <headerFooter>
    <oddHeader>&amp;C&amp;A</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118"/>
  <sheetViews>
    <sheetView zoomScaleNormal="100" workbookViewId="0">
      <selection sqref="A1:H1"/>
    </sheetView>
  </sheetViews>
  <sheetFormatPr defaultColWidth="11.42578125" defaultRowHeight="15"/>
  <cols>
    <col min="1" max="1" width="11.140625" bestFit="1" customWidth="1"/>
    <col min="2" max="2" width="14.85546875" style="6" bestFit="1" customWidth="1"/>
    <col min="3" max="3" width="44.42578125" style="80" customWidth="1"/>
    <col min="4" max="4" width="13.5703125" style="6" bestFit="1" customWidth="1"/>
    <col min="5" max="5" width="15.5703125" style="6" customWidth="1"/>
    <col min="6" max="6" width="50.42578125" style="83" customWidth="1"/>
    <col min="7" max="7" width="10" style="60" bestFit="1" customWidth="1"/>
    <col min="8" max="8" width="15.5703125" style="21" customWidth="1"/>
    <col min="9" max="9" width="22" customWidth="1"/>
  </cols>
  <sheetData>
    <row r="1" spans="1:8" ht="21.75" thickBot="1">
      <c r="A1" s="273" t="s">
        <v>18</v>
      </c>
      <c r="B1" s="273"/>
      <c r="C1" s="273"/>
      <c r="D1" s="273"/>
      <c r="E1" s="273"/>
      <c r="F1" s="273"/>
      <c r="G1" s="273"/>
      <c r="H1" s="273"/>
    </row>
    <row r="2" spans="1:8" ht="15" customHeight="1">
      <c r="A2" s="1" t="s">
        <v>19</v>
      </c>
      <c r="B2" s="221" t="s">
        <v>20</v>
      </c>
      <c r="C2" s="228" t="s">
        <v>21</v>
      </c>
      <c r="D2" s="221" t="s">
        <v>22</v>
      </c>
      <c r="E2" s="221" t="s">
        <v>23</v>
      </c>
      <c r="F2" s="283" t="s">
        <v>24</v>
      </c>
      <c r="G2" s="221" t="s">
        <v>25</v>
      </c>
      <c r="H2" s="221" t="s">
        <v>26</v>
      </c>
    </row>
    <row r="3" spans="1:8" ht="15.75" thickBot="1">
      <c r="A3" s="86" t="s">
        <v>27</v>
      </c>
      <c r="B3" s="222"/>
      <c r="C3" s="232"/>
      <c r="D3" s="222"/>
      <c r="E3" s="222"/>
      <c r="F3" s="284"/>
      <c r="G3" s="222"/>
      <c r="H3" s="222"/>
    </row>
    <row r="4" spans="1:8" ht="36.75" thickBot="1">
      <c r="A4" s="44">
        <v>7000</v>
      </c>
      <c r="B4" s="3"/>
      <c r="C4" s="51" t="s">
        <v>571</v>
      </c>
      <c r="D4" s="3">
        <v>1</v>
      </c>
      <c r="E4" s="8" t="s">
        <v>34</v>
      </c>
      <c r="F4" s="12" t="s">
        <v>572</v>
      </c>
      <c r="G4" s="3" t="s">
        <v>29</v>
      </c>
      <c r="H4" s="18" t="s">
        <v>30</v>
      </c>
    </row>
    <row r="5" spans="1:8" ht="36.75" thickBot="1">
      <c r="A5" s="45">
        <v>7001</v>
      </c>
      <c r="B5" s="3" t="s">
        <v>573</v>
      </c>
      <c r="C5" s="51" t="s">
        <v>574</v>
      </c>
      <c r="D5" s="3">
        <v>1</v>
      </c>
      <c r="E5" s="8" t="s">
        <v>114</v>
      </c>
      <c r="F5" s="12" t="s">
        <v>575</v>
      </c>
      <c r="G5" s="3" t="s">
        <v>107</v>
      </c>
      <c r="H5" s="18" t="s">
        <v>30</v>
      </c>
    </row>
    <row r="6" spans="1:8" ht="36.75" thickBot="1">
      <c r="A6" s="45">
        <v>7002</v>
      </c>
      <c r="B6" s="3" t="s">
        <v>576</v>
      </c>
      <c r="C6" s="51" t="s">
        <v>577</v>
      </c>
      <c r="D6" s="3">
        <v>1</v>
      </c>
      <c r="E6" s="8" t="s">
        <v>114</v>
      </c>
      <c r="F6" s="12" t="s">
        <v>578</v>
      </c>
      <c r="G6" s="3" t="s">
        <v>107</v>
      </c>
      <c r="H6" s="18" t="s">
        <v>30</v>
      </c>
    </row>
    <row r="7" spans="1:8" ht="44.45" customHeight="1" thickBot="1">
      <c r="A7" s="45">
        <v>7003</v>
      </c>
      <c r="B7" s="3" t="s">
        <v>579</v>
      </c>
      <c r="C7" s="51" t="s">
        <v>580</v>
      </c>
      <c r="D7" s="3">
        <v>1</v>
      </c>
      <c r="E7" s="8" t="s">
        <v>34</v>
      </c>
      <c r="F7" s="12" t="s">
        <v>581</v>
      </c>
      <c r="G7" s="3" t="s">
        <v>107</v>
      </c>
      <c r="H7" s="18" t="s">
        <v>30</v>
      </c>
    </row>
    <row r="8" spans="1:8" ht="15.75" thickBot="1">
      <c r="A8" s="45">
        <v>7004</v>
      </c>
      <c r="B8" s="3" t="s">
        <v>582</v>
      </c>
      <c r="C8" s="51" t="s">
        <v>583</v>
      </c>
      <c r="D8" s="3">
        <v>1</v>
      </c>
      <c r="E8" s="8" t="s">
        <v>34</v>
      </c>
      <c r="F8" s="12" t="s">
        <v>584</v>
      </c>
      <c r="G8" s="3" t="s">
        <v>107</v>
      </c>
      <c r="H8" s="18" t="s">
        <v>30</v>
      </c>
    </row>
    <row r="9" spans="1:8" ht="24.75" thickBot="1">
      <c r="A9" s="45">
        <v>7005</v>
      </c>
      <c r="B9" s="3" t="s">
        <v>585</v>
      </c>
      <c r="C9" s="51" t="s">
        <v>586</v>
      </c>
      <c r="D9" s="3">
        <v>2</v>
      </c>
      <c r="E9" s="8" t="s">
        <v>9</v>
      </c>
      <c r="F9" s="12" t="s">
        <v>112</v>
      </c>
      <c r="G9" s="3" t="s">
        <v>107</v>
      </c>
      <c r="H9" s="18" t="s">
        <v>30</v>
      </c>
    </row>
    <row r="10" spans="1:8" ht="24.75" thickBot="1">
      <c r="A10" s="45">
        <v>7006</v>
      </c>
      <c r="B10" s="3" t="s">
        <v>587</v>
      </c>
      <c r="C10" s="51" t="s">
        <v>586</v>
      </c>
      <c r="D10" s="3">
        <v>2</v>
      </c>
      <c r="E10" s="8" t="s">
        <v>9</v>
      </c>
      <c r="F10" s="12" t="s">
        <v>112</v>
      </c>
      <c r="G10" s="3" t="s">
        <v>107</v>
      </c>
      <c r="H10" s="18" t="s">
        <v>30</v>
      </c>
    </row>
    <row r="11" spans="1:8" ht="24.75" thickBot="1">
      <c r="A11" s="45">
        <v>7007</v>
      </c>
      <c r="B11" s="3" t="s">
        <v>588</v>
      </c>
      <c r="C11" s="51" t="s">
        <v>589</v>
      </c>
      <c r="D11" s="3">
        <v>1</v>
      </c>
      <c r="E11" s="8" t="s">
        <v>34</v>
      </c>
      <c r="F11" s="12" t="s">
        <v>590</v>
      </c>
      <c r="G11" s="3" t="s">
        <v>107</v>
      </c>
      <c r="H11" s="18" t="s">
        <v>30</v>
      </c>
    </row>
    <row r="12" spans="1:8" ht="36.75" thickBot="1">
      <c r="A12" s="73">
        <v>7008</v>
      </c>
      <c r="B12" s="123" t="s">
        <v>591</v>
      </c>
      <c r="C12" s="124" t="s">
        <v>592</v>
      </c>
      <c r="D12" s="123">
        <v>1</v>
      </c>
      <c r="E12" s="163" t="s">
        <v>114</v>
      </c>
      <c r="F12" s="135" t="s">
        <v>593</v>
      </c>
      <c r="G12" s="123" t="s">
        <v>107</v>
      </c>
      <c r="H12" s="118" t="s">
        <v>37</v>
      </c>
    </row>
    <row r="13" spans="1:8" ht="24.75" thickBot="1">
      <c r="A13" s="73">
        <v>7009</v>
      </c>
      <c r="B13" s="123" t="s">
        <v>594</v>
      </c>
      <c r="C13" s="124" t="s">
        <v>595</v>
      </c>
      <c r="D13" s="123">
        <v>1</v>
      </c>
      <c r="E13" s="163" t="s">
        <v>114</v>
      </c>
      <c r="F13" s="135" t="s">
        <v>596</v>
      </c>
      <c r="G13" s="123" t="s">
        <v>107</v>
      </c>
      <c r="H13" s="118" t="s">
        <v>37</v>
      </c>
    </row>
    <row r="14" spans="1:8" ht="24.75" thickBot="1">
      <c r="A14" s="73">
        <v>7010</v>
      </c>
      <c r="B14" s="123" t="s">
        <v>597</v>
      </c>
      <c r="C14" s="124" t="s">
        <v>598</v>
      </c>
      <c r="D14" s="123">
        <v>2</v>
      </c>
      <c r="E14" s="163" t="s">
        <v>7</v>
      </c>
      <c r="F14" s="135" t="s">
        <v>112</v>
      </c>
      <c r="G14" s="123" t="s">
        <v>107</v>
      </c>
      <c r="H14" s="118" t="s">
        <v>37</v>
      </c>
    </row>
    <row r="15" spans="1:8" ht="24.75" thickBot="1">
      <c r="A15" s="73">
        <v>7011</v>
      </c>
      <c r="B15" s="123" t="s">
        <v>599</v>
      </c>
      <c r="C15" s="124" t="s">
        <v>600</v>
      </c>
      <c r="D15" s="123">
        <v>1</v>
      </c>
      <c r="E15" s="163" t="s">
        <v>114</v>
      </c>
      <c r="F15" s="135" t="s">
        <v>601</v>
      </c>
      <c r="G15" s="123" t="s">
        <v>107</v>
      </c>
      <c r="H15" s="118" t="s">
        <v>37</v>
      </c>
    </row>
    <row r="16" spans="1:8" ht="24.75" thickBot="1">
      <c r="A16" s="73">
        <v>7012</v>
      </c>
      <c r="B16" s="123" t="s">
        <v>602</v>
      </c>
      <c r="C16" s="124" t="s">
        <v>603</v>
      </c>
      <c r="D16" s="123">
        <v>4</v>
      </c>
      <c r="E16" s="163" t="s">
        <v>7</v>
      </c>
      <c r="F16" s="125" t="s">
        <v>141</v>
      </c>
      <c r="G16" s="123" t="s">
        <v>107</v>
      </c>
      <c r="H16" s="118" t="s">
        <v>37</v>
      </c>
    </row>
    <row r="17" spans="1:8" ht="24.75" thickBot="1">
      <c r="A17" s="73">
        <v>7013</v>
      </c>
      <c r="B17" s="123" t="s">
        <v>604</v>
      </c>
      <c r="C17" s="124" t="s">
        <v>605</v>
      </c>
      <c r="D17" s="123">
        <v>2</v>
      </c>
      <c r="E17" s="163" t="s">
        <v>7</v>
      </c>
      <c r="F17" s="135" t="s">
        <v>606</v>
      </c>
      <c r="G17" s="123" t="s">
        <v>107</v>
      </c>
      <c r="H17" s="118" t="s">
        <v>37</v>
      </c>
    </row>
    <row r="18" spans="1:8" ht="36.75" thickBot="1">
      <c r="A18" s="73">
        <v>7014</v>
      </c>
      <c r="B18" s="123" t="s">
        <v>607</v>
      </c>
      <c r="C18" s="124" t="s">
        <v>608</v>
      </c>
      <c r="D18" s="123">
        <v>1</v>
      </c>
      <c r="E18" s="163" t="s">
        <v>114</v>
      </c>
      <c r="F18" s="135" t="s">
        <v>609</v>
      </c>
      <c r="G18" s="123" t="s">
        <v>107</v>
      </c>
      <c r="H18" s="118" t="s">
        <v>37</v>
      </c>
    </row>
    <row r="19" spans="1:8" ht="15.75" thickBot="1">
      <c r="A19" s="73">
        <v>7015</v>
      </c>
      <c r="B19" s="123" t="s">
        <v>610</v>
      </c>
      <c r="C19" s="124" t="s">
        <v>611</v>
      </c>
      <c r="D19" s="123">
        <v>1</v>
      </c>
      <c r="E19" s="163" t="s">
        <v>34</v>
      </c>
      <c r="F19" s="135" t="s">
        <v>360</v>
      </c>
      <c r="G19" s="123" t="s">
        <v>107</v>
      </c>
      <c r="H19" s="118" t="s">
        <v>37</v>
      </c>
    </row>
    <row r="20" spans="1:8" ht="15.75" thickBot="1">
      <c r="A20" s="73">
        <v>7016</v>
      </c>
      <c r="B20" s="123" t="s">
        <v>612</v>
      </c>
      <c r="C20" s="124" t="s">
        <v>613</v>
      </c>
      <c r="D20" s="123">
        <v>1</v>
      </c>
      <c r="E20" s="163" t="s">
        <v>34</v>
      </c>
      <c r="F20" s="135" t="s">
        <v>360</v>
      </c>
      <c r="G20" s="123" t="s">
        <v>107</v>
      </c>
      <c r="H20" s="118" t="s">
        <v>37</v>
      </c>
    </row>
    <row r="21" spans="1:8" ht="24.75" thickBot="1">
      <c r="A21" s="73">
        <v>7017</v>
      </c>
      <c r="B21" s="123" t="s">
        <v>614</v>
      </c>
      <c r="C21" s="124" t="s">
        <v>615</v>
      </c>
      <c r="D21" s="123">
        <v>1</v>
      </c>
      <c r="E21" s="163" t="s">
        <v>34</v>
      </c>
      <c r="F21" s="137">
        <v>0.01</v>
      </c>
      <c r="G21" s="123" t="s">
        <v>107</v>
      </c>
      <c r="H21" s="118" t="s">
        <v>37</v>
      </c>
    </row>
    <row r="22" spans="1:8" ht="24.75" thickBot="1">
      <c r="A22" s="73">
        <v>7018</v>
      </c>
      <c r="B22" s="123" t="s">
        <v>616</v>
      </c>
      <c r="C22" s="124" t="s">
        <v>617</v>
      </c>
      <c r="D22" s="123">
        <v>1</v>
      </c>
      <c r="E22" s="163" t="s">
        <v>34</v>
      </c>
      <c r="F22" s="137">
        <v>0.01</v>
      </c>
      <c r="G22" s="123" t="s">
        <v>107</v>
      </c>
      <c r="H22" s="118" t="s">
        <v>37</v>
      </c>
    </row>
    <row r="23" spans="1:8" ht="24.75" thickBot="1">
      <c r="A23" s="73">
        <v>7019</v>
      </c>
      <c r="B23" s="123" t="s">
        <v>618</v>
      </c>
      <c r="C23" s="124" t="s">
        <v>619</v>
      </c>
      <c r="D23" s="123">
        <v>1</v>
      </c>
      <c r="E23" s="163" t="s">
        <v>34</v>
      </c>
      <c r="F23" s="137">
        <v>0.01</v>
      </c>
      <c r="G23" s="123" t="s">
        <v>107</v>
      </c>
      <c r="H23" s="118" t="s">
        <v>37</v>
      </c>
    </row>
    <row r="24" spans="1:8" ht="27.75" customHeight="1" thickBot="1">
      <c r="A24" s="73">
        <v>7020</v>
      </c>
      <c r="B24" s="123" t="s">
        <v>620</v>
      </c>
      <c r="C24" s="124" t="s">
        <v>621</v>
      </c>
      <c r="D24" s="123">
        <v>1</v>
      </c>
      <c r="E24" s="163" t="s">
        <v>34</v>
      </c>
      <c r="F24" s="137">
        <v>0.01</v>
      </c>
      <c r="G24" s="123" t="s">
        <v>107</v>
      </c>
      <c r="H24" s="118" t="s">
        <v>37</v>
      </c>
    </row>
    <row r="25" spans="1:8" ht="24.75" thickBot="1">
      <c r="A25" s="73">
        <v>7021</v>
      </c>
      <c r="B25" s="123" t="s">
        <v>622</v>
      </c>
      <c r="C25" s="124" t="s">
        <v>623</v>
      </c>
      <c r="D25" s="123">
        <v>1</v>
      </c>
      <c r="E25" s="163" t="s">
        <v>34</v>
      </c>
      <c r="F25" s="135" t="s">
        <v>584</v>
      </c>
      <c r="G25" s="123" t="s">
        <v>107</v>
      </c>
      <c r="H25" s="118" t="s">
        <v>37</v>
      </c>
    </row>
    <row r="26" spans="1:8" ht="24.75" thickBot="1">
      <c r="A26" s="73">
        <v>7022</v>
      </c>
      <c r="B26" s="123" t="s">
        <v>624</v>
      </c>
      <c r="C26" s="124" t="s">
        <v>625</v>
      </c>
      <c r="D26" s="123">
        <v>1</v>
      </c>
      <c r="E26" s="163" t="s">
        <v>114</v>
      </c>
      <c r="F26" s="135" t="s">
        <v>593</v>
      </c>
      <c r="G26" s="123" t="s">
        <v>107</v>
      </c>
      <c r="H26" s="118" t="s">
        <v>37</v>
      </c>
    </row>
    <row r="27" spans="1:8" ht="56.25" customHeight="1" thickBot="1">
      <c r="A27" s="73">
        <v>7023</v>
      </c>
      <c r="B27" s="123" t="s">
        <v>626</v>
      </c>
      <c r="C27" s="124" t="s">
        <v>627</v>
      </c>
      <c r="D27" s="123">
        <v>1</v>
      </c>
      <c r="E27" s="163" t="s">
        <v>114</v>
      </c>
      <c r="F27" s="135" t="s">
        <v>628</v>
      </c>
      <c r="G27" s="123" t="s">
        <v>107</v>
      </c>
      <c r="H27" s="118" t="s">
        <v>37</v>
      </c>
    </row>
    <row r="28" spans="1:8" ht="56.25" customHeight="1" thickBot="1">
      <c r="A28" s="73">
        <v>7024</v>
      </c>
      <c r="B28" s="123" t="s">
        <v>629</v>
      </c>
      <c r="C28" s="124" t="s">
        <v>630</v>
      </c>
      <c r="D28" s="123">
        <v>1</v>
      </c>
      <c r="E28" s="163" t="s">
        <v>114</v>
      </c>
      <c r="F28" s="135" t="s">
        <v>628</v>
      </c>
      <c r="G28" s="123" t="s">
        <v>107</v>
      </c>
      <c r="H28" s="118" t="s">
        <v>37</v>
      </c>
    </row>
    <row r="29" spans="1:8" ht="15.75" thickBot="1">
      <c r="A29" s="73" t="s">
        <v>631</v>
      </c>
      <c r="B29" s="285" t="s">
        <v>632</v>
      </c>
      <c r="C29" s="286"/>
      <c r="D29" s="286"/>
      <c r="E29" s="286"/>
      <c r="F29" s="286"/>
      <c r="G29" s="286"/>
      <c r="H29" s="287"/>
    </row>
    <row r="30" spans="1:8" ht="15.75" thickBot="1">
      <c r="A30" s="45">
        <v>7100</v>
      </c>
      <c r="B30" s="3" t="s">
        <v>633</v>
      </c>
      <c r="C30" s="51" t="s">
        <v>634</v>
      </c>
      <c r="D30" s="3">
        <v>1</v>
      </c>
      <c r="E30" s="55" t="s">
        <v>34</v>
      </c>
      <c r="F30" s="12" t="s">
        <v>635</v>
      </c>
      <c r="G30" s="3" t="s">
        <v>29</v>
      </c>
      <c r="H30" s="22" t="s">
        <v>30</v>
      </c>
    </row>
    <row r="31" spans="1:8" ht="16.5" customHeight="1" thickBot="1">
      <c r="A31" s="45">
        <v>7101</v>
      </c>
      <c r="B31" s="3" t="s">
        <v>636</v>
      </c>
      <c r="C31" s="51" t="s">
        <v>637</v>
      </c>
      <c r="D31" s="3">
        <v>2</v>
      </c>
      <c r="E31" s="55" t="s">
        <v>9</v>
      </c>
      <c r="F31" s="12" t="s">
        <v>112</v>
      </c>
      <c r="G31" s="3" t="s">
        <v>29</v>
      </c>
      <c r="H31" s="22" t="s">
        <v>30</v>
      </c>
    </row>
    <row r="32" spans="1:8" ht="15.75" thickBot="1">
      <c r="A32" s="45">
        <v>7102</v>
      </c>
      <c r="B32" s="3" t="s">
        <v>638</v>
      </c>
      <c r="C32" s="51" t="s">
        <v>639</v>
      </c>
      <c r="D32" s="3">
        <v>1</v>
      </c>
      <c r="E32" s="55" t="s">
        <v>34</v>
      </c>
      <c r="F32" s="12" t="s">
        <v>360</v>
      </c>
      <c r="G32" s="3" t="s">
        <v>29</v>
      </c>
      <c r="H32" s="29" t="s">
        <v>30</v>
      </c>
    </row>
    <row r="33" spans="1:8" ht="24.75" thickBot="1">
      <c r="A33" s="45">
        <v>7103</v>
      </c>
      <c r="B33" s="3" t="s">
        <v>640</v>
      </c>
      <c r="C33" s="51" t="s">
        <v>641</v>
      </c>
      <c r="D33" s="3">
        <v>1</v>
      </c>
      <c r="E33" s="55" t="s">
        <v>34</v>
      </c>
      <c r="F33" s="12" t="s">
        <v>360</v>
      </c>
      <c r="G33" s="3" t="s">
        <v>29</v>
      </c>
      <c r="H33" s="18" t="s">
        <v>30</v>
      </c>
    </row>
    <row r="34" spans="1:8" ht="36.75" thickBot="1">
      <c r="A34" s="45">
        <v>7104</v>
      </c>
      <c r="B34" s="3" t="s">
        <v>642</v>
      </c>
      <c r="C34" s="51" t="s">
        <v>643</v>
      </c>
      <c r="D34" s="3">
        <v>1</v>
      </c>
      <c r="E34" s="55" t="s">
        <v>34</v>
      </c>
      <c r="F34" s="12" t="s">
        <v>360</v>
      </c>
      <c r="G34" s="3" t="s">
        <v>29</v>
      </c>
      <c r="H34" s="22" t="s">
        <v>30</v>
      </c>
    </row>
    <row r="35" spans="1:8" ht="24.75" thickBot="1">
      <c r="A35" s="45">
        <v>7105</v>
      </c>
      <c r="B35" s="240"/>
      <c r="C35" s="51" t="s">
        <v>644</v>
      </c>
      <c r="D35" s="3">
        <v>1</v>
      </c>
      <c r="E35" s="55" t="s">
        <v>34</v>
      </c>
      <c r="F35" s="81">
        <v>0.01</v>
      </c>
      <c r="G35" s="3" t="s">
        <v>29</v>
      </c>
      <c r="H35" s="22" t="s">
        <v>30</v>
      </c>
    </row>
    <row r="36" spans="1:8" ht="36.75" thickBot="1">
      <c r="A36" s="45">
        <v>7106</v>
      </c>
      <c r="B36" s="225"/>
      <c r="C36" s="51" t="s">
        <v>645</v>
      </c>
      <c r="D36" s="3">
        <v>2</v>
      </c>
      <c r="E36" s="55" t="s">
        <v>9</v>
      </c>
      <c r="F36" s="12" t="s">
        <v>112</v>
      </c>
      <c r="G36" s="3" t="s">
        <v>29</v>
      </c>
      <c r="H36" s="29" t="s">
        <v>30</v>
      </c>
    </row>
    <row r="37" spans="1:8" ht="141.75" customHeight="1" thickBot="1">
      <c r="A37" s="45">
        <v>7107</v>
      </c>
      <c r="B37" s="226"/>
      <c r="C37" s="51" t="s">
        <v>646</v>
      </c>
      <c r="D37" s="3">
        <v>1</v>
      </c>
      <c r="E37" s="106" t="s">
        <v>114</v>
      </c>
      <c r="F37" s="12" t="s">
        <v>225</v>
      </c>
      <c r="G37" s="3" t="s">
        <v>29</v>
      </c>
      <c r="H37" s="18" t="s">
        <v>30</v>
      </c>
    </row>
    <row r="38" spans="1:8" ht="15.75" thickBot="1">
      <c r="A38" s="45">
        <v>7108</v>
      </c>
      <c r="B38" s="240"/>
      <c r="C38" s="51" t="s">
        <v>647</v>
      </c>
      <c r="D38" s="3">
        <v>1</v>
      </c>
      <c r="E38" s="55" t="s">
        <v>34</v>
      </c>
      <c r="F38" s="81">
        <v>0.01</v>
      </c>
      <c r="G38" s="3" t="s">
        <v>29</v>
      </c>
      <c r="H38" s="22" t="s">
        <v>30</v>
      </c>
    </row>
    <row r="39" spans="1:8" ht="36.75" thickBot="1">
      <c r="A39" s="45">
        <v>7109</v>
      </c>
      <c r="B39" s="225"/>
      <c r="C39" s="51" t="s">
        <v>648</v>
      </c>
      <c r="D39" s="3">
        <v>2</v>
      </c>
      <c r="E39" s="55" t="s">
        <v>9</v>
      </c>
      <c r="F39" s="12" t="s">
        <v>112</v>
      </c>
      <c r="G39" s="3" t="s">
        <v>29</v>
      </c>
      <c r="H39" s="22" t="s">
        <v>30</v>
      </c>
    </row>
    <row r="40" spans="1:8" ht="132.75" thickBot="1">
      <c r="A40" s="45">
        <v>7110</v>
      </c>
      <c r="B40" s="282"/>
      <c r="C40" s="52" t="s">
        <v>649</v>
      </c>
      <c r="D40" s="98">
        <v>1</v>
      </c>
      <c r="E40" s="164" t="s">
        <v>114</v>
      </c>
      <c r="F40" s="12" t="s">
        <v>225</v>
      </c>
      <c r="G40" s="9" t="s">
        <v>29</v>
      </c>
      <c r="H40" s="29" t="s">
        <v>30</v>
      </c>
    </row>
    <row r="41" spans="1:8" ht="15.75" thickBot="1">
      <c r="A41" s="44">
        <v>7111</v>
      </c>
      <c r="B41" s="28"/>
      <c r="C41" s="79" t="s">
        <v>650</v>
      </c>
      <c r="D41" s="99">
        <v>1</v>
      </c>
      <c r="E41" s="165" t="s">
        <v>34</v>
      </c>
      <c r="F41" s="81">
        <v>0.01</v>
      </c>
      <c r="G41" s="28" t="s">
        <v>29</v>
      </c>
      <c r="H41" s="18" t="s">
        <v>30</v>
      </c>
    </row>
    <row r="42" spans="1:8" ht="15.75" thickBot="1">
      <c r="A42" s="44">
        <v>7112</v>
      </c>
      <c r="B42" s="3"/>
      <c r="C42" s="51" t="s">
        <v>651</v>
      </c>
      <c r="D42" s="8">
        <v>2</v>
      </c>
      <c r="E42" s="55" t="s">
        <v>9</v>
      </c>
      <c r="F42" s="12" t="s">
        <v>112</v>
      </c>
      <c r="G42" s="3" t="s">
        <v>29</v>
      </c>
      <c r="H42" s="22" t="s">
        <v>30</v>
      </c>
    </row>
    <row r="43" spans="1:8" ht="96.75" thickBot="1">
      <c r="A43" s="47">
        <v>7113</v>
      </c>
      <c r="B43" s="37"/>
      <c r="C43" s="53" t="s">
        <v>652</v>
      </c>
      <c r="D43" s="99">
        <v>1</v>
      </c>
      <c r="E43" s="99" t="s">
        <v>34</v>
      </c>
      <c r="F43" s="53" t="s">
        <v>653</v>
      </c>
      <c r="G43" s="37" t="s">
        <v>29</v>
      </c>
      <c r="H43" s="22" t="s">
        <v>30</v>
      </c>
    </row>
    <row r="44" spans="1:8" ht="48.75" thickBot="1">
      <c r="A44" s="47">
        <v>7114</v>
      </c>
      <c r="B44" s="37"/>
      <c r="C44" s="52" t="s">
        <v>654</v>
      </c>
      <c r="D44" s="98">
        <v>1</v>
      </c>
      <c r="E44" s="43" t="s">
        <v>34</v>
      </c>
      <c r="F44" s="12" t="s">
        <v>655</v>
      </c>
      <c r="G44" s="37" t="s">
        <v>29</v>
      </c>
      <c r="H44" s="29" t="s">
        <v>30</v>
      </c>
    </row>
    <row r="45" spans="1:8" ht="15.75" thickBot="1">
      <c r="A45" s="61">
        <f>A44+1</f>
        <v>7115</v>
      </c>
      <c r="B45" s="28"/>
      <c r="C45" s="79" t="s">
        <v>656</v>
      </c>
      <c r="D45" s="99">
        <v>1</v>
      </c>
      <c r="E45" s="99" t="s">
        <v>34</v>
      </c>
      <c r="F45" s="82">
        <v>0.01</v>
      </c>
      <c r="G45" s="28" t="s">
        <v>29</v>
      </c>
      <c r="H45" s="18" t="s">
        <v>30</v>
      </c>
    </row>
    <row r="46" spans="1:8" ht="15.75" thickBot="1">
      <c r="A46" s="44">
        <f t="shared" ref="A46:A48" si="0">A45+1</f>
        <v>7116</v>
      </c>
      <c r="B46" s="3"/>
      <c r="C46" s="51" t="s">
        <v>657</v>
      </c>
      <c r="D46" s="8">
        <v>2</v>
      </c>
      <c r="E46" s="8" t="s">
        <v>9</v>
      </c>
      <c r="F46" s="12" t="s">
        <v>112</v>
      </c>
      <c r="G46" s="3" t="s">
        <v>29</v>
      </c>
      <c r="H46" s="22" t="s">
        <v>30</v>
      </c>
    </row>
    <row r="47" spans="1:8" ht="96.75" thickBot="1">
      <c r="A47" s="44">
        <f t="shared" si="0"/>
        <v>7117</v>
      </c>
      <c r="B47" s="37"/>
      <c r="C47" s="53" t="s">
        <v>658</v>
      </c>
      <c r="D47" s="99">
        <v>1</v>
      </c>
      <c r="E47" s="99" t="s">
        <v>34</v>
      </c>
      <c r="F47" s="48" t="s">
        <v>653</v>
      </c>
      <c r="G47" s="37" t="s">
        <v>29</v>
      </c>
      <c r="H47" s="22" t="s">
        <v>30</v>
      </c>
    </row>
    <row r="48" spans="1:8" ht="48.75" thickBot="1">
      <c r="A48" s="44">
        <f t="shared" si="0"/>
        <v>7118</v>
      </c>
      <c r="B48" s="37"/>
      <c r="C48" s="52" t="s">
        <v>659</v>
      </c>
      <c r="D48" s="98">
        <v>1</v>
      </c>
      <c r="E48" s="43" t="s">
        <v>34</v>
      </c>
      <c r="F48" s="12" t="s">
        <v>655</v>
      </c>
      <c r="G48" s="37" t="s">
        <v>29</v>
      </c>
      <c r="H48" s="29" t="s">
        <v>30</v>
      </c>
    </row>
    <row r="49" spans="1:8" ht="15.75" thickBot="1">
      <c r="A49" s="61">
        <f>A48+1</f>
        <v>7119</v>
      </c>
      <c r="B49" s="28"/>
      <c r="C49" s="79" t="s">
        <v>660</v>
      </c>
      <c r="D49" s="99">
        <v>1</v>
      </c>
      <c r="E49" s="99" t="s">
        <v>34</v>
      </c>
      <c r="F49" s="82">
        <v>0.01</v>
      </c>
      <c r="G49" s="28" t="s">
        <v>29</v>
      </c>
      <c r="H49" s="18" t="s">
        <v>30</v>
      </c>
    </row>
    <row r="50" spans="1:8" ht="15.75" thickBot="1">
      <c r="A50" s="44">
        <f t="shared" ref="A50:A52" si="1">A49+1</f>
        <v>7120</v>
      </c>
      <c r="B50" s="3"/>
      <c r="C50" s="51" t="s">
        <v>661</v>
      </c>
      <c r="D50" s="8">
        <v>2</v>
      </c>
      <c r="E50" s="8" t="s">
        <v>9</v>
      </c>
      <c r="F50" s="12" t="s">
        <v>112</v>
      </c>
      <c r="G50" s="3" t="s">
        <v>29</v>
      </c>
      <c r="H50" s="22" t="s">
        <v>30</v>
      </c>
    </row>
    <row r="51" spans="1:8" ht="96.75" thickBot="1">
      <c r="A51" s="44">
        <f t="shared" si="1"/>
        <v>7121</v>
      </c>
      <c r="B51" s="37"/>
      <c r="C51" s="53" t="s">
        <v>662</v>
      </c>
      <c r="D51" s="99">
        <v>1</v>
      </c>
      <c r="E51" s="99" t="s">
        <v>34</v>
      </c>
      <c r="F51" s="48" t="s">
        <v>653</v>
      </c>
      <c r="G51" s="37" t="s">
        <v>29</v>
      </c>
      <c r="H51" s="22" t="s">
        <v>30</v>
      </c>
    </row>
    <row r="52" spans="1:8" ht="48.75" thickBot="1">
      <c r="A52" s="44">
        <f t="shared" si="1"/>
        <v>7122</v>
      </c>
      <c r="B52" s="37"/>
      <c r="C52" s="52" t="s">
        <v>663</v>
      </c>
      <c r="D52" s="98">
        <v>1</v>
      </c>
      <c r="E52" s="43" t="s">
        <v>34</v>
      </c>
      <c r="F52" s="12" t="s">
        <v>655</v>
      </c>
      <c r="G52" s="37" t="s">
        <v>29</v>
      </c>
      <c r="H52" s="29" t="s">
        <v>30</v>
      </c>
    </row>
    <row r="53" spans="1:8" ht="15.75" thickBot="1">
      <c r="A53" s="61">
        <f>A52+1</f>
        <v>7123</v>
      </c>
      <c r="B53" s="28"/>
      <c r="C53" s="79" t="s">
        <v>664</v>
      </c>
      <c r="D53" s="99">
        <v>1</v>
      </c>
      <c r="E53" s="99" t="s">
        <v>34</v>
      </c>
      <c r="F53" s="82">
        <v>0.01</v>
      </c>
      <c r="G53" s="28" t="s">
        <v>29</v>
      </c>
      <c r="H53" s="18" t="s">
        <v>30</v>
      </c>
    </row>
    <row r="54" spans="1:8" s="72" customFormat="1" ht="15.75" customHeight="1" thickBot="1">
      <c r="A54" s="44">
        <f t="shared" ref="A54:A56" si="2">A53+1</f>
        <v>7124</v>
      </c>
      <c r="B54" s="3"/>
      <c r="C54" s="12" t="s">
        <v>665</v>
      </c>
      <c r="D54" s="8">
        <v>2</v>
      </c>
      <c r="E54" s="8" t="s">
        <v>9</v>
      </c>
      <c r="F54" s="12" t="s">
        <v>112</v>
      </c>
      <c r="G54" s="3" t="s">
        <v>29</v>
      </c>
      <c r="H54" s="22" t="s">
        <v>30</v>
      </c>
    </row>
    <row r="55" spans="1:8" ht="96.75" thickBot="1">
      <c r="A55" s="44">
        <f t="shared" si="2"/>
        <v>7125</v>
      </c>
      <c r="B55" s="37"/>
      <c r="C55" s="53" t="s">
        <v>666</v>
      </c>
      <c r="D55" s="99">
        <v>1</v>
      </c>
      <c r="E55" s="99" t="s">
        <v>34</v>
      </c>
      <c r="F55" s="48" t="s">
        <v>653</v>
      </c>
      <c r="G55" s="37" t="s">
        <v>29</v>
      </c>
      <c r="H55" s="22" t="s">
        <v>30</v>
      </c>
    </row>
    <row r="56" spans="1:8" ht="48.75" thickBot="1">
      <c r="A56" s="44">
        <f t="shared" si="2"/>
        <v>7126</v>
      </c>
      <c r="B56" s="37"/>
      <c r="C56" s="52" t="s">
        <v>667</v>
      </c>
      <c r="D56" s="98">
        <v>1</v>
      </c>
      <c r="E56" s="43" t="s">
        <v>34</v>
      </c>
      <c r="F56" s="12" t="s">
        <v>655</v>
      </c>
      <c r="G56" s="37" t="s">
        <v>29</v>
      </c>
      <c r="H56" s="29" t="s">
        <v>30</v>
      </c>
    </row>
    <row r="57" spans="1:8" ht="15.75" thickBot="1">
      <c r="A57" s="61">
        <f>A56+1</f>
        <v>7127</v>
      </c>
      <c r="B57" s="28"/>
      <c r="C57" s="79" t="s">
        <v>668</v>
      </c>
      <c r="D57" s="99">
        <v>1</v>
      </c>
      <c r="E57" s="99" t="s">
        <v>34</v>
      </c>
      <c r="F57" s="82">
        <v>0.01</v>
      </c>
      <c r="G57" s="28" t="s">
        <v>29</v>
      </c>
      <c r="H57" s="18" t="s">
        <v>30</v>
      </c>
    </row>
    <row r="58" spans="1:8" ht="15.75" thickBot="1">
      <c r="A58" s="44">
        <f t="shared" ref="A58:A60" si="3">A57+1</f>
        <v>7128</v>
      </c>
      <c r="B58" s="3"/>
      <c r="C58" s="51" t="s">
        <v>669</v>
      </c>
      <c r="D58" s="8">
        <v>2</v>
      </c>
      <c r="E58" s="8" t="s">
        <v>9</v>
      </c>
      <c r="F58" s="12" t="s">
        <v>112</v>
      </c>
      <c r="G58" s="3" t="s">
        <v>29</v>
      </c>
      <c r="H58" s="22" t="s">
        <v>30</v>
      </c>
    </row>
    <row r="59" spans="1:8" ht="96.75" thickBot="1">
      <c r="A59" s="44">
        <f t="shared" si="3"/>
        <v>7129</v>
      </c>
      <c r="B59" s="37"/>
      <c r="C59" s="53" t="s">
        <v>670</v>
      </c>
      <c r="D59" s="99">
        <v>1</v>
      </c>
      <c r="E59" s="99" t="s">
        <v>34</v>
      </c>
      <c r="F59" s="48" t="s">
        <v>653</v>
      </c>
      <c r="G59" s="37" t="s">
        <v>29</v>
      </c>
      <c r="H59" s="22" t="s">
        <v>30</v>
      </c>
    </row>
    <row r="60" spans="1:8" ht="48.75" thickBot="1">
      <c r="A60" s="44">
        <f t="shared" si="3"/>
        <v>7130</v>
      </c>
      <c r="B60" s="37"/>
      <c r="C60" s="52" t="s">
        <v>671</v>
      </c>
      <c r="D60" s="98">
        <v>1</v>
      </c>
      <c r="E60" s="43" t="s">
        <v>34</v>
      </c>
      <c r="F60" s="12" t="s">
        <v>655</v>
      </c>
      <c r="G60" s="37" t="s">
        <v>29</v>
      </c>
      <c r="H60" s="18" t="s">
        <v>30</v>
      </c>
    </row>
    <row r="61" spans="1:8" ht="15.75" thickBot="1">
      <c r="A61" s="61">
        <f>A60+1</f>
        <v>7131</v>
      </c>
      <c r="B61" s="28"/>
      <c r="C61" s="79" t="s">
        <v>672</v>
      </c>
      <c r="D61" s="99">
        <v>1</v>
      </c>
      <c r="E61" s="99" t="s">
        <v>34</v>
      </c>
      <c r="F61" s="82">
        <v>0.01</v>
      </c>
      <c r="G61" s="28" t="s">
        <v>29</v>
      </c>
      <c r="H61" s="22" t="s">
        <v>30</v>
      </c>
    </row>
    <row r="62" spans="1:8" ht="15.75" thickBot="1">
      <c r="A62" s="44">
        <f t="shared" ref="A62:A64" si="4">A61+1</f>
        <v>7132</v>
      </c>
      <c r="B62" s="3"/>
      <c r="C62" s="51" t="s">
        <v>673</v>
      </c>
      <c r="D62" s="8">
        <v>2</v>
      </c>
      <c r="E62" s="8" t="s">
        <v>9</v>
      </c>
      <c r="F62" s="12" t="s">
        <v>112</v>
      </c>
      <c r="G62" s="3" t="s">
        <v>29</v>
      </c>
      <c r="H62" s="22" t="s">
        <v>30</v>
      </c>
    </row>
    <row r="63" spans="1:8" ht="96.75" thickBot="1">
      <c r="A63" s="44">
        <f t="shared" si="4"/>
        <v>7133</v>
      </c>
      <c r="B63" s="37"/>
      <c r="C63" s="53" t="s">
        <v>674</v>
      </c>
      <c r="D63" s="99">
        <v>1</v>
      </c>
      <c r="E63" s="99" t="s">
        <v>34</v>
      </c>
      <c r="F63" s="48" t="s">
        <v>653</v>
      </c>
      <c r="G63" s="37" t="s">
        <v>29</v>
      </c>
      <c r="H63" s="18" t="s">
        <v>30</v>
      </c>
    </row>
    <row r="64" spans="1:8" ht="48.75" thickBot="1">
      <c r="A64" s="44">
        <f t="shared" si="4"/>
        <v>7134</v>
      </c>
      <c r="B64" s="37"/>
      <c r="C64" s="52" t="s">
        <v>675</v>
      </c>
      <c r="D64" s="98">
        <v>1</v>
      </c>
      <c r="E64" s="43" t="s">
        <v>34</v>
      </c>
      <c r="F64" s="12" t="s">
        <v>655</v>
      </c>
      <c r="G64" s="37" t="s">
        <v>29</v>
      </c>
      <c r="H64" s="22" t="s">
        <v>30</v>
      </c>
    </row>
    <row r="65" spans="1:10" ht="15.75" thickBot="1">
      <c r="A65" s="61">
        <f>A64+1</f>
        <v>7135</v>
      </c>
      <c r="B65" s="28"/>
      <c r="C65" s="79" t="s">
        <v>676</v>
      </c>
      <c r="D65" s="99">
        <v>1</v>
      </c>
      <c r="E65" s="99" t="s">
        <v>34</v>
      </c>
      <c r="F65" s="82">
        <v>0.01</v>
      </c>
      <c r="G65" s="28" t="s">
        <v>29</v>
      </c>
      <c r="H65" s="22" t="s">
        <v>30</v>
      </c>
    </row>
    <row r="66" spans="1:10" ht="15.75" thickBot="1">
      <c r="A66" s="44">
        <f t="shared" ref="A66:A68" si="5">A65+1</f>
        <v>7136</v>
      </c>
      <c r="B66" s="3"/>
      <c r="C66" s="51" t="s">
        <v>677</v>
      </c>
      <c r="D66" s="8">
        <v>2</v>
      </c>
      <c r="E66" s="8" t="s">
        <v>9</v>
      </c>
      <c r="F66" s="12" t="s">
        <v>112</v>
      </c>
      <c r="G66" s="3" t="s">
        <v>29</v>
      </c>
      <c r="H66" s="18" t="s">
        <v>30</v>
      </c>
    </row>
    <row r="67" spans="1:10" ht="96.75" thickBot="1">
      <c r="A67" s="44">
        <f t="shared" si="5"/>
        <v>7137</v>
      </c>
      <c r="B67" s="37"/>
      <c r="C67" s="53" t="s">
        <v>678</v>
      </c>
      <c r="D67" s="99">
        <v>1</v>
      </c>
      <c r="E67" s="99" t="s">
        <v>34</v>
      </c>
      <c r="F67" s="48" t="s">
        <v>653</v>
      </c>
      <c r="G67" s="37" t="s">
        <v>29</v>
      </c>
      <c r="H67" s="22" t="s">
        <v>30</v>
      </c>
    </row>
    <row r="68" spans="1:10" ht="48.75" thickBot="1">
      <c r="A68" s="44">
        <f t="shared" si="5"/>
        <v>7138</v>
      </c>
      <c r="B68" s="37"/>
      <c r="C68" s="52" t="s">
        <v>679</v>
      </c>
      <c r="D68" s="98">
        <v>1</v>
      </c>
      <c r="E68" s="43" t="s">
        <v>34</v>
      </c>
      <c r="F68" s="12" t="s">
        <v>655</v>
      </c>
      <c r="G68" s="37" t="s">
        <v>29</v>
      </c>
      <c r="H68" s="22" t="s">
        <v>30</v>
      </c>
    </row>
    <row r="69" spans="1:10" ht="15.75" thickBot="1">
      <c r="A69" s="61">
        <f>A68+1</f>
        <v>7139</v>
      </c>
      <c r="B69" s="28"/>
      <c r="C69" s="79" t="s">
        <v>680</v>
      </c>
      <c r="D69" s="99">
        <v>1</v>
      </c>
      <c r="E69" s="99" t="s">
        <v>34</v>
      </c>
      <c r="F69" s="82">
        <v>0.01</v>
      </c>
      <c r="G69" s="28" t="s">
        <v>29</v>
      </c>
      <c r="H69" s="18" t="s">
        <v>30</v>
      </c>
    </row>
    <row r="70" spans="1:10" ht="15.75" thickBot="1">
      <c r="A70" s="44">
        <f t="shared" ref="A70:A72" si="6">A69+1</f>
        <v>7140</v>
      </c>
      <c r="B70" s="3"/>
      <c r="C70" s="51" t="s">
        <v>681</v>
      </c>
      <c r="D70" s="8">
        <v>2</v>
      </c>
      <c r="E70" s="8" t="s">
        <v>9</v>
      </c>
      <c r="F70" s="12" t="s">
        <v>112</v>
      </c>
      <c r="G70" s="3" t="s">
        <v>29</v>
      </c>
      <c r="H70" s="22" t="s">
        <v>30</v>
      </c>
    </row>
    <row r="71" spans="1:10" ht="96.75" thickBot="1">
      <c r="A71" s="44">
        <f t="shared" si="6"/>
        <v>7141</v>
      </c>
      <c r="B71" s="37"/>
      <c r="C71" s="53" t="s">
        <v>682</v>
      </c>
      <c r="D71" s="99">
        <v>1</v>
      </c>
      <c r="E71" s="99" t="s">
        <v>34</v>
      </c>
      <c r="F71" s="48" t="s">
        <v>653</v>
      </c>
      <c r="G71" s="37" t="s">
        <v>29</v>
      </c>
      <c r="H71" s="22" t="s">
        <v>30</v>
      </c>
    </row>
    <row r="72" spans="1:10" ht="48.75" thickBot="1">
      <c r="A72" s="44">
        <f t="shared" si="6"/>
        <v>7142</v>
      </c>
      <c r="B72" s="37"/>
      <c r="C72" s="52" t="s">
        <v>683</v>
      </c>
      <c r="D72" s="98">
        <v>1</v>
      </c>
      <c r="E72" s="43" t="s">
        <v>34</v>
      </c>
      <c r="F72" s="12" t="s">
        <v>655</v>
      </c>
      <c r="G72" s="37" t="s">
        <v>29</v>
      </c>
      <c r="H72" s="18" t="s">
        <v>30</v>
      </c>
    </row>
    <row r="73" spans="1:10" ht="15.75" thickBot="1">
      <c r="A73" s="61">
        <f>A72+1</f>
        <v>7143</v>
      </c>
      <c r="B73" s="28"/>
      <c r="C73" s="79" t="s">
        <v>684</v>
      </c>
      <c r="D73" s="99">
        <v>1</v>
      </c>
      <c r="E73" s="99" t="s">
        <v>34</v>
      </c>
      <c r="F73" s="82">
        <v>0.01</v>
      </c>
      <c r="G73" s="28" t="s">
        <v>29</v>
      </c>
      <c r="H73" s="22" t="s">
        <v>30</v>
      </c>
    </row>
    <row r="74" spans="1:10" ht="15.75" thickBot="1">
      <c r="A74" s="44">
        <f t="shared" ref="A74:A76" si="7">A73+1</f>
        <v>7144</v>
      </c>
      <c r="B74" s="3"/>
      <c r="C74" s="51" t="s">
        <v>685</v>
      </c>
      <c r="D74" s="8">
        <v>2</v>
      </c>
      <c r="E74" s="8" t="s">
        <v>9</v>
      </c>
      <c r="F74" s="12" t="s">
        <v>112</v>
      </c>
      <c r="G74" s="3" t="s">
        <v>29</v>
      </c>
      <c r="H74" s="22" t="s">
        <v>30</v>
      </c>
    </row>
    <row r="75" spans="1:10" ht="96.75" thickBot="1">
      <c r="A75" s="44">
        <f t="shared" si="7"/>
        <v>7145</v>
      </c>
      <c r="B75" s="37"/>
      <c r="C75" s="53" t="s">
        <v>686</v>
      </c>
      <c r="D75" s="32">
        <v>1</v>
      </c>
      <c r="E75" s="43" t="s">
        <v>34</v>
      </c>
      <c r="F75" s="48" t="s">
        <v>653</v>
      </c>
      <c r="G75" s="37" t="s">
        <v>29</v>
      </c>
      <c r="H75" s="18" t="s">
        <v>30</v>
      </c>
    </row>
    <row r="76" spans="1:10" ht="48.75" thickBot="1">
      <c r="A76" s="44">
        <f t="shared" si="7"/>
        <v>7146</v>
      </c>
      <c r="B76" s="37"/>
      <c r="C76" s="52" t="s">
        <v>687</v>
      </c>
      <c r="D76" s="9">
        <v>1</v>
      </c>
      <c r="E76" s="43" t="s">
        <v>34</v>
      </c>
      <c r="F76" s="12" t="s">
        <v>655</v>
      </c>
      <c r="G76" s="37" t="s">
        <v>29</v>
      </c>
      <c r="H76" s="22" t="s">
        <v>30</v>
      </c>
    </row>
    <row r="77" spans="1:10" s="46" customFormat="1" ht="15.75" thickBot="1">
      <c r="A77" s="130">
        <v>7151</v>
      </c>
      <c r="B77" s="74" t="s">
        <v>688</v>
      </c>
      <c r="C77" s="131" t="s">
        <v>689</v>
      </c>
      <c r="D77" s="132">
        <v>4</v>
      </c>
      <c r="E77" s="132" t="s">
        <v>11</v>
      </c>
      <c r="F77" s="133" t="s">
        <v>690</v>
      </c>
      <c r="G77" s="74" t="s">
        <v>29</v>
      </c>
      <c r="H77" s="118" t="s">
        <v>37</v>
      </c>
      <c r="J77"/>
    </row>
    <row r="78" spans="1:10" s="46" customFormat="1" ht="24.75" thickBot="1">
      <c r="A78" s="130">
        <v>7153</v>
      </c>
      <c r="B78" s="74" t="s">
        <v>691</v>
      </c>
      <c r="C78" s="131" t="s">
        <v>692</v>
      </c>
      <c r="D78" s="132">
        <v>1</v>
      </c>
      <c r="E78" s="132" t="s">
        <v>114</v>
      </c>
      <c r="F78" s="133" t="s">
        <v>693</v>
      </c>
      <c r="G78" s="74" t="s">
        <v>29</v>
      </c>
      <c r="H78" s="118" t="s">
        <v>37</v>
      </c>
      <c r="J78"/>
    </row>
    <row r="79" spans="1:10" s="46" customFormat="1" ht="15.75" thickBot="1">
      <c r="A79" s="130">
        <v>7154</v>
      </c>
      <c r="B79" s="74" t="s">
        <v>694</v>
      </c>
      <c r="C79" s="131" t="s">
        <v>695</v>
      </c>
      <c r="D79" s="132">
        <v>2</v>
      </c>
      <c r="E79" s="132" t="s">
        <v>9</v>
      </c>
      <c r="F79" s="133" t="s">
        <v>112</v>
      </c>
      <c r="G79" s="74" t="s">
        <v>29</v>
      </c>
      <c r="H79" s="118" t="s">
        <v>37</v>
      </c>
      <c r="J79"/>
    </row>
    <row r="80" spans="1:10" s="46" customFormat="1" ht="15.75" thickBot="1">
      <c r="A80" s="130">
        <v>7155</v>
      </c>
      <c r="B80" s="74" t="s">
        <v>696</v>
      </c>
      <c r="C80" s="131" t="s">
        <v>697</v>
      </c>
      <c r="D80" s="132">
        <v>2</v>
      </c>
      <c r="E80" s="132" t="s">
        <v>9</v>
      </c>
      <c r="F80" s="134">
        <v>1E-3</v>
      </c>
      <c r="G80" s="74" t="s">
        <v>29</v>
      </c>
      <c r="H80" s="118" t="s">
        <v>37</v>
      </c>
      <c r="J80"/>
    </row>
    <row r="81" spans="1:10" s="46" customFormat="1" ht="15.75" thickBot="1">
      <c r="A81" s="130">
        <v>7156</v>
      </c>
      <c r="B81" s="74" t="s">
        <v>698</v>
      </c>
      <c r="C81" s="131" t="s">
        <v>699</v>
      </c>
      <c r="D81" s="132">
        <v>2</v>
      </c>
      <c r="E81" s="132" t="s">
        <v>7</v>
      </c>
      <c r="F81" s="133" t="s">
        <v>700</v>
      </c>
      <c r="G81" s="74" t="s">
        <v>29</v>
      </c>
      <c r="H81" s="118" t="s">
        <v>37</v>
      </c>
      <c r="J81"/>
    </row>
    <row r="82" spans="1:10" s="46" customFormat="1" ht="24.75" thickBot="1">
      <c r="A82" s="130">
        <v>7157</v>
      </c>
      <c r="B82" s="74" t="s">
        <v>701</v>
      </c>
      <c r="C82" s="131" t="s">
        <v>702</v>
      </c>
      <c r="D82" s="132">
        <v>1</v>
      </c>
      <c r="E82" s="132" t="s">
        <v>114</v>
      </c>
      <c r="F82" s="133" t="s">
        <v>703</v>
      </c>
      <c r="G82" s="74" t="s">
        <v>29</v>
      </c>
      <c r="H82" s="118" t="s">
        <v>37</v>
      </c>
      <c r="J82"/>
    </row>
    <row r="83" spans="1:10" s="46" customFormat="1" ht="24.75" thickBot="1">
      <c r="A83" s="130">
        <v>7158</v>
      </c>
      <c r="B83" s="74" t="s">
        <v>704</v>
      </c>
      <c r="C83" s="131" t="s">
        <v>705</v>
      </c>
      <c r="D83" s="132">
        <v>1</v>
      </c>
      <c r="E83" s="132" t="s">
        <v>114</v>
      </c>
      <c r="F83" s="133" t="s">
        <v>703</v>
      </c>
      <c r="G83" s="74" t="s">
        <v>29</v>
      </c>
      <c r="H83" s="118" t="s">
        <v>37</v>
      </c>
      <c r="J83"/>
    </row>
    <row r="84" spans="1:10" s="46" customFormat="1" ht="324.75" thickBot="1">
      <c r="A84" s="130">
        <v>7159</v>
      </c>
      <c r="B84" s="74" t="s">
        <v>706</v>
      </c>
      <c r="C84" s="133" t="s">
        <v>707</v>
      </c>
      <c r="D84" s="132">
        <v>1</v>
      </c>
      <c r="E84" s="132" t="s">
        <v>114</v>
      </c>
      <c r="F84" s="133" t="s">
        <v>708</v>
      </c>
      <c r="G84" s="74" t="s">
        <v>29</v>
      </c>
      <c r="H84" s="118" t="s">
        <v>37</v>
      </c>
      <c r="J84"/>
    </row>
    <row r="85" spans="1:10" s="46" customFormat="1" ht="15.75" thickBot="1">
      <c r="A85" s="130">
        <v>7160</v>
      </c>
      <c r="B85" s="74" t="s">
        <v>709</v>
      </c>
      <c r="C85" s="131" t="s">
        <v>710</v>
      </c>
      <c r="D85" s="123">
        <v>4</v>
      </c>
      <c r="E85" s="132" t="s">
        <v>11</v>
      </c>
      <c r="F85" s="125" t="s">
        <v>141</v>
      </c>
      <c r="G85" s="74" t="s">
        <v>29</v>
      </c>
      <c r="H85" s="118" t="s">
        <v>37</v>
      </c>
      <c r="J85"/>
    </row>
    <row r="86" spans="1:10" s="46" customFormat="1" ht="24.75" thickBot="1">
      <c r="A86" s="130">
        <v>7162</v>
      </c>
      <c r="B86" s="74" t="s">
        <v>711</v>
      </c>
      <c r="C86" s="131" t="s">
        <v>712</v>
      </c>
      <c r="D86" s="123">
        <v>4</v>
      </c>
      <c r="E86" s="132" t="s">
        <v>11</v>
      </c>
      <c r="F86" s="125" t="s">
        <v>141</v>
      </c>
      <c r="G86" s="74" t="s">
        <v>29</v>
      </c>
      <c r="H86" s="118" t="s">
        <v>37</v>
      </c>
      <c r="J86"/>
    </row>
    <row r="87" spans="1:10" s="46" customFormat="1" ht="15.75" thickBot="1">
      <c r="A87" s="130">
        <v>7164</v>
      </c>
      <c r="B87" s="74" t="s">
        <v>713</v>
      </c>
      <c r="C87" s="131" t="s">
        <v>714</v>
      </c>
      <c r="D87" s="132">
        <v>2</v>
      </c>
      <c r="E87" s="132" t="s">
        <v>9</v>
      </c>
      <c r="F87" s="133" t="s">
        <v>112</v>
      </c>
      <c r="G87" s="74" t="s">
        <v>29</v>
      </c>
      <c r="H87" s="118" t="s">
        <v>37</v>
      </c>
      <c r="J87"/>
    </row>
    <row r="88" spans="1:10" s="46" customFormat="1" ht="24.75" thickBot="1">
      <c r="A88" s="130">
        <v>7165</v>
      </c>
      <c r="B88" s="74"/>
      <c r="C88" s="131" t="s">
        <v>715</v>
      </c>
      <c r="D88" s="132">
        <v>2</v>
      </c>
      <c r="E88" s="132" t="s">
        <v>34</v>
      </c>
      <c r="F88" s="133" t="s">
        <v>716</v>
      </c>
      <c r="G88" s="74" t="s">
        <v>29</v>
      </c>
      <c r="H88" s="118" t="s">
        <v>37</v>
      </c>
      <c r="J88"/>
    </row>
    <row r="89" spans="1:10" s="46" customFormat="1" ht="36.75" thickBot="1">
      <c r="A89" s="130">
        <v>7166</v>
      </c>
      <c r="B89" s="74"/>
      <c r="C89" s="131" t="s">
        <v>717</v>
      </c>
      <c r="D89" s="132">
        <v>1</v>
      </c>
      <c r="E89" s="132" t="s">
        <v>34</v>
      </c>
      <c r="F89" s="134">
        <v>1E-3</v>
      </c>
      <c r="G89" s="74" t="s">
        <v>29</v>
      </c>
      <c r="H89" s="118" t="s">
        <v>37</v>
      </c>
      <c r="J89"/>
    </row>
    <row r="90" spans="1:10" s="46" customFormat="1" ht="36.75" thickBot="1">
      <c r="A90" s="130">
        <v>7167</v>
      </c>
      <c r="B90" s="74"/>
      <c r="C90" s="131" t="s">
        <v>718</v>
      </c>
      <c r="D90" s="132">
        <v>2</v>
      </c>
      <c r="E90" s="132" t="s">
        <v>34</v>
      </c>
      <c r="F90" s="134">
        <v>1E-3</v>
      </c>
      <c r="G90" s="74" t="s">
        <v>29</v>
      </c>
      <c r="H90" s="118" t="s">
        <v>37</v>
      </c>
      <c r="J90"/>
    </row>
    <row r="91" spans="1:10" s="46" customFormat="1" ht="24.75" thickBot="1">
      <c r="A91" s="130">
        <v>7168</v>
      </c>
      <c r="B91" s="74" t="s">
        <v>719</v>
      </c>
      <c r="C91" s="131" t="s">
        <v>720</v>
      </c>
      <c r="D91" s="132">
        <v>2</v>
      </c>
      <c r="E91" s="132" t="s">
        <v>9</v>
      </c>
      <c r="F91" s="133" t="s">
        <v>112</v>
      </c>
      <c r="G91" s="74" t="s">
        <v>29</v>
      </c>
      <c r="H91" s="118" t="s">
        <v>37</v>
      </c>
      <c r="J91"/>
    </row>
    <row r="92" spans="1:10" s="46" customFormat="1" ht="24.75" thickBot="1">
      <c r="A92" s="130">
        <v>7169</v>
      </c>
      <c r="B92" s="74" t="s">
        <v>721</v>
      </c>
      <c r="C92" s="131" t="s">
        <v>722</v>
      </c>
      <c r="D92" s="132">
        <v>2</v>
      </c>
      <c r="E92" s="132" t="s">
        <v>9</v>
      </c>
      <c r="F92" s="133" t="s">
        <v>112</v>
      </c>
      <c r="G92" s="74" t="s">
        <v>29</v>
      </c>
      <c r="H92" s="118" t="s">
        <v>37</v>
      </c>
      <c r="J92"/>
    </row>
    <row r="93" spans="1:10" s="46" customFormat="1" ht="15.75" thickBot="1">
      <c r="A93" s="130" t="s">
        <v>723</v>
      </c>
      <c r="B93" s="54"/>
      <c r="C93" s="116" t="s">
        <v>632</v>
      </c>
      <c r="D93" s="56"/>
      <c r="E93" s="132"/>
      <c r="F93" s="117"/>
      <c r="G93" s="56"/>
      <c r="H93" s="118" t="s">
        <v>37</v>
      </c>
      <c r="J93"/>
    </row>
    <row r="94" spans="1:10" s="46" customFormat="1" ht="27" customHeight="1" thickBot="1">
      <c r="A94" s="130">
        <v>7200</v>
      </c>
      <c r="B94" s="74" t="s">
        <v>724</v>
      </c>
      <c r="C94" s="131" t="s">
        <v>725</v>
      </c>
      <c r="D94" s="136">
        <v>1</v>
      </c>
      <c r="E94" s="132" t="s">
        <v>34</v>
      </c>
      <c r="F94" s="133" t="s">
        <v>360</v>
      </c>
      <c r="G94" s="74" t="s">
        <v>107</v>
      </c>
      <c r="H94" s="118" t="s">
        <v>37</v>
      </c>
      <c r="J94"/>
    </row>
    <row r="95" spans="1:10" s="46" customFormat="1" ht="84.75" thickBot="1">
      <c r="A95" s="130">
        <v>7201</v>
      </c>
      <c r="B95" s="74"/>
      <c r="C95" s="131" t="s">
        <v>726</v>
      </c>
      <c r="D95" s="136">
        <v>1</v>
      </c>
      <c r="E95" s="132" t="s">
        <v>34</v>
      </c>
      <c r="F95" s="133" t="s">
        <v>727</v>
      </c>
      <c r="G95" s="74" t="s">
        <v>107</v>
      </c>
      <c r="H95" s="118" t="s">
        <v>37</v>
      </c>
      <c r="J95"/>
    </row>
    <row r="96" spans="1:10" s="46" customFormat="1" ht="84.75" thickBot="1">
      <c r="A96" s="130">
        <v>7202</v>
      </c>
      <c r="B96" s="74"/>
      <c r="C96" s="131" t="s">
        <v>728</v>
      </c>
      <c r="D96" s="136">
        <v>1</v>
      </c>
      <c r="E96" s="132" t="s">
        <v>114</v>
      </c>
      <c r="F96" s="133" t="s">
        <v>729</v>
      </c>
      <c r="G96" s="74" t="s">
        <v>107</v>
      </c>
      <c r="H96" s="118" t="s">
        <v>37</v>
      </c>
      <c r="J96"/>
    </row>
    <row r="97" spans="1:10" s="46" customFormat="1" ht="24.75" thickBot="1">
      <c r="A97" s="130">
        <v>7203</v>
      </c>
      <c r="B97" s="74" t="s">
        <v>730</v>
      </c>
      <c r="C97" s="131" t="s">
        <v>731</v>
      </c>
      <c r="D97" s="132">
        <v>2</v>
      </c>
      <c r="E97" s="132" t="s">
        <v>7</v>
      </c>
      <c r="F97" s="133" t="s">
        <v>732</v>
      </c>
      <c r="G97" s="74" t="s">
        <v>107</v>
      </c>
      <c r="H97" s="118" t="s">
        <v>37</v>
      </c>
      <c r="J97"/>
    </row>
    <row r="98" spans="1:10" s="46" customFormat="1" ht="24.75" thickBot="1">
      <c r="A98" s="130">
        <v>7205</v>
      </c>
      <c r="B98" s="74" t="s">
        <v>733</v>
      </c>
      <c r="C98" s="131" t="s">
        <v>734</v>
      </c>
      <c r="D98" s="136">
        <v>2</v>
      </c>
      <c r="E98" s="132" t="s">
        <v>7</v>
      </c>
      <c r="F98" s="133" t="s">
        <v>735</v>
      </c>
      <c r="G98" s="74" t="s">
        <v>107</v>
      </c>
      <c r="H98" s="118" t="s">
        <v>37</v>
      </c>
      <c r="J98"/>
    </row>
    <row r="99" spans="1:10" s="46" customFormat="1" ht="15.75" thickBot="1">
      <c r="A99" s="130">
        <v>7207</v>
      </c>
      <c r="B99" s="74" t="s">
        <v>736</v>
      </c>
      <c r="C99" s="131" t="s">
        <v>737</v>
      </c>
      <c r="D99" s="136">
        <v>1</v>
      </c>
      <c r="E99" s="132" t="s">
        <v>7</v>
      </c>
      <c r="F99" s="131" t="s">
        <v>360</v>
      </c>
      <c r="G99" s="74" t="s">
        <v>29</v>
      </c>
      <c r="H99" s="118" t="s">
        <v>37</v>
      </c>
      <c r="J99"/>
    </row>
    <row r="100" spans="1:10" s="46" customFormat="1" ht="15.75" thickBot="1">
      <c r="A100" s="130">
        <v>7208</v>
      </c>
      <c r="B100" s="74" t="s">
        <v>738</v>
      </c>
      <c r="C100" s="131" t="s">
        <v>739</v>
      </c>
      <c r="D100" s="136">
        <v>1</v>
      </c>
      <c r="E100" s="132" t="s">
        <v>7</v>
      </c>
      <c r="F100" s="131" t="s">
        <v>360</v>
      </c>
      <c r="G100" s="74" t="s">
        <v>29</v>
      </c>
      <c r="H100" s="118" t="s">
        <v>37</v>
      </c>
      <c r="J100"/>
    </row>
    <row r="101" spans="1:10" s="46" customFormat="1" ht="324.75" thickBot="1">
      <c r="A101" s="130">
        <v>7209</v>
      </c>
      <c r="B101" s="74" t="s">
        <v>740</v>
      </c>
      <c r="C101" s="131" t="s">
        <v>741</v>
      </c>
      <c r="D101" s="132">
        <v>1</v>
      </c>
      <c r="E101" s="132" t="s">
        <v>114</v>
      </c>
      <c r="F101" s="133" t="s">
        <v>708</v>
      </c>
      <c r="G101" s="74" t="s">
        <v>29</v>
      </c>
      <c r="H101" s="118" t="s">
        <v>37</v>
      </c>
      <c r="J101"/>
    </row>
    <row r="102" spans="1:10" s="46" customFormat="1" ht="24.75" thickBot="1">
      <c r="A102" s="130">
        <v>7210</v>
      </c>
      <c r="B102" s="74" t="s">
        <v>742</v>
      </c>
      <c r="C102" s="131" t="s">
        <v>743</v>
      </c>
      <c r="D102" s="132">
        <v>1</v>
      </c>
      <c r="E102" s="132" t="s">
        <v>34</v>
      </c>
      <c r="F102" s="133" t="s">
        <v>744</v>
      </c>
      <c r="G102" s="74" t="s">
        <v>29</v>
      </c>
      <c r="H102" s="118" t="s">
        <v>37</v>
      </c>
      <c r="J102"/>
    </row>
    <row r="103" spans="1:10" s="46" customFormat="1" ht="24.75" thickBot="1">
      <c r="A103" s="130">
        <v>7211</v>
      </c>
      <c r="B103" s="74" t="s">
        <v>745</v>
      </c>
      <c r="C103" s="131" t="s">
        <v>746</v>
      </c>
      <c r="D103" s="132">
        <v>4</v>
      </c>
      <c r="E103" s="132" t="s">
        <v>11</v>
      </c>
      <c r="F103" s="133"/>
      <c r="G103" s="74" t="s">
        <v>29</v>
      </c>
      <c r="H103" s="118" t="s">
        <v>37</v>
      </c>
      <c r="J103"/>
    </row>
    <row r="104" spans="1:10" s="46" customFormat="1" ht="24.75" thickBot="1">
      <c r="A104" s="130">
        <v>7213</v>
      </c>
      <c r="B104" s="74" t="s">
        <v>747</v>
      </c>
      <c r="C104" s="131" t="s">
        <v>748</v>
      </c>
      <c r="D104" s="132">
        <v>2</v>
      </c>
      <c r="E104" s="132" t="s">
        <v>9</v>
      </c>
      <c r="F104" s="133" t="s">
        <v>112</v>
      </c>
      <c r="G104" s="74" t="s">
        <v>29</v>
      </c>
      <c r="H104" s="118" t="s">
        <v>37</v>
      </c>
      <c r="J104"/>
    </row>
    <row r="105" spans="1:10" s="46" customFormat="1" ht="24.75" thickBot="1">
      <c r="A105" s="130">
        <v>7214</v>
      </c>
      <c r="B105" s="74" t="s">
        <v>749</v>
      </c>
      <c r="C105" s="131" t="s">
        <v>750</v>
      </c>
      <c r="D105" s="132">
        <v>2</v>
      </c>
      <c r="E105" s="132" t="s">
        <v>9</v>
      </c>
      <c r="F105" s="133" t="s">
        <v>112</v>
      </c>
      <c r="G105" s="74" t="s">
        <v>29</v>
      </c>
      <c r="H105" s="118" t="s">
        <v>37</v>
      </c>
      <c r="J105"/>
    </row>
    <row r="106" spans="1:10" s="46" customFormat="1" ht="24.75" thickBot="1">
      <c r="A106" s="130">
        <v>7215</v>
      </c>
      <c r="B106" s="74" t="s">
        <v>751</v>
      </c>
      <c r="C106" s="131" t="s">
        <v>752</v>
      </c>
      <c r="D106" s="132">
        <v>2</v>
      </c>
      <c r="E106" s="132" t="s">
        <v>9</v>
      </c>
      <c r="F106" s="133" t="s">
        <v>112</v>
      </c>
      <c r="G106" s="74" t="s">
        <v>29</v>
      </c>
      <c r="H106" s="118" t="s">
        <v>37</v>
      </c>
      <c r="J106"/>
    </row>
    <row r="107" spans="1:10" s="46" customFormat="1" ht="24.75" thickBot="1">
      <c r="A107" s="130">
        <v>7216</v>
      </c>
      <c r="B107" s="74" t="s">
        <v>753</v>
      </c>
      <c r="C107" s="131" t="s">
        <v>754</v>
      </c>
      <c r="D107" s="132">
        <v>2</v>
      </c>
      <c r="E107" s="132" t="s">
        <v>9</v>
      </c>
      <c r="F107" s="133" t="s">
        <v>409</v>
      </c>
      <c r="G107" s="74" t="s">
        <v>29</v>
      </c>
      <c r="H107" s="118" t="s">
        <v>37</v>
      </c>
      <c r="J107"/>
    </row>
    <row r="108" spans="1:10" s="46" customFormat="1" ht="72.75" thickBot="1">
      <c r="A108" s="130">
        <v>7217</v>
      </c>
      <c r="B108" s="74" t="s">
        <v>755</v>
      </c>
      <c r="C108" s="131" t="s">
        <v>756</v>
      </c>
      <c r="D108" s="132">
        <v>1</v>
      </c>
      <c r="E108" s="132" t="s">
        <v>114</v>
      </c>
      <c r="F108" s="133" t="s">
        <v>757</v>
      </c>
      <c r="G108" s="74" t="s">
        <v>29</v>
      </c>
      <c r="H108" s="118" t="s">
        <v>37</v>
      </c>
      <c r="J108"/>
    </row>
    <row r="109" spans="1:10" s="46" customFormat="1" ht="24.75" thickBot="1">
      <c r="A109" s="130">
        <v>7218</v>
      </c>
      <c r="B109" s="74" t="s">
        <v>758</v>
      </c>
      <c r="C109" s="131" t="s">
        <v>759</v>
      </c>
      <c r="D109" s="132">
        <v>2</v>
      </c>
      <c r="E109" s="132" t="s">
        <v>34</v>
      </c>
      <c r="F109" s="133" t="s">
        <v>206</v>
      </c>
      <c r="G109" s="74" t="s">
        <v>29</v>
      </c>
      <c r="H109" s="118" t="s">
        <v>37</v>
      </c>
      <c r="J109"/>
    </row>
    <row r="110" spans="1:10" s="46" customFormat="1" ht="24.75" thickBot="1">
      <c r="A110" s="130">
        <v>7219</v>
      </c>
      <c r="B110" s="74" t="s">
        <v>760</v>
      </c>
      <c r="C110" s="131" t="s">
        <v>761</v>
      </c>
      <c r="D110" s="132">
        <v>2</v>
      </c>
      <c r="E110" s="132" t="s">
        <v>9</v>
      </c>
      <c r="F110" s="133" t="s">
        <v>112</v>
      </c>
      <c r="G110" s="74" t="s">
        <v>29</v>
      </c>
      <c r="H110" s="118" t="s">
        <v>37</v>
      </c>
      <c r="J110"/>
    </row>
    <row r="111" spans="1:10" s="46" customFormat="1" ht="15.75" thickBot="1">
      <c r="A111" s="130">
        <v>7220</v>
      </c>
      <c r="B111" s="74" t="s">
        <v>762</v>
      </c>
      <c r="C111" s="131" t="s">
        <v>763</v>
      </c>
      <c r="D111" s="132">
        <v>2</v>
      </c>
      <c r="E111" s="132" t="s">
        <v>7</v>
      </c>
      <c r="F111" s="134">
        <v>1E-3</v>
      </c>
      <c r="G111" s="74" t="s">
        <v>29</v>
      </c>
      <c r="H111" s="118" t="s">
        <v>37</v>
      </c>
      <c r="J111"/>
    </row>
    <row r="112" spans="1:10" s="46" customFormat="1" ht="15.75" thickBot="1">
      <c r="A112" s="130">
        <v>7221</v>
      </c>
      <c r="B112" s="74" t="s">
        <v>764</v>
      </c>
      <c r="C112" s="131" t="s">
        <v>765</v>
      </c>
      <c r="D112" s="132">
        <v>2</v>
      </c>
      <c r="E112" s="132" t="s">
        <v>7</v>
      </c>
      <c r="F112" s="134">
        <v>1E-4</v>
      </c>
      <c r="G112" s="74" t="s">
        <v>29</v>
      </c>
      <c r="H112" s="118" t="s">
        <v>37</v>
      </c>
      <c r="J112"/>
    </row>
    <row r="113" spans="1:10" s="46" customFormat="1" ht="24.75" thickBot="1">
      <c r="A113" s="130">
        <v>7222</v>
      </c>
      <c r="B113" s="74" t="s">
        <v>766</v>
      </c>
      <c r="C113" s="131" t="s">
        <v>767</v>
      </c>
      <c r="D113" s="123">
        <v>4</v>
      </c>
      <c r="E113" s="132" t="s">
        <v>11</v>
      </c>
      <c r="F113" s="135" t="s">
        <v>141</v>
      </c>
      <c r="G113" s="74" t="s">
        <v>29</v>
      </c>
      <c r="H113" s="118" t="s">
        <v>37</v>
      </c>
      <c r="J113"/>
    </row>
    <row r="114" spans="1:10" s="46" customFormat="1" ht="15.75" thickBot="1">
      <c r="A114" s="130">
        <v>7224</v>
      </c>
      <c r="B114" s="74" t="s">
        <v>768</v>
      </c>
      <c r="C114" s="131" t="s">
        <v>769</v>
      </c>
      <c r="D114" s="123">
        <v>4</v>
      </c>
      <c r="E114" s="132" t="s">
        <v>11</v>
      </c>
      <c r="F114" s="135" t="s">
        <v>141</v>
      </c>
      <c r="G114" s="74" t="s">
        <v>29</v>
      </c>
      <c r="H114" s="118" t="s">
        <v>37</v>
      </c>
      <c r="J114"/>
    </row>
    <row r="115" spans="1:10" s="46" customFormat="1" ht="15.75" thickBot="1">
      <c r="A115" s="130">
        <v>7226</v>
      </c>
      <c r="B115" s="74" t="s">
        <v>770</v>
      </c>
      <c r="C115" s="131" t="s">
        <v>771</v>
      </c>
      <c r="D115" s="136">
        <v>2</v>
      </c>
      <c r="E115" s="132" t="s">
        <v>34</v>
      </c>
      <c r="F115" s="131" t="s">
        <v>360</v>
      </c>
      <c r="G115" s="74" t="s">
        <v>29</v>
      </c>
      <c r="H115" s="118" t="s">
        <v>37</v>
      </c>
      <c r="J115"/>
    </row>
    <row r="116" spans="1:10" s="46" customFormat="1" ht="15.75" thickBot="1">
      <c r="A116" s="130">
        <v>7227</v>
      </c>
      <c r="B116" s="74" t="s">
        <v>772</v>
      </c>
      <c r="C116" s="131" t="s">
        <v>773</v>
      </c>
      <c r="D116" s="136">
        <v>2</v>
      </c>
      <c r="E116" s="132" t="s">
        <v>7</v>
      </c>
      <c r="F116" s="133" t="s">
        <v>774</v>
      </c>
      <c r="G116" s="74" t="s">
        <v>29</v>
      </c>
      <c r="H116" s="118" t="s">
        <v>37</v>
      </c>
      <c r="J116"/>
    </row>
    <row r="117" spans="1:10" s="46" customFormat="1" ht="24.75" thickBot="1">
      <c r="A117" s="130">
        <v>7228</v>
      </c>
      <c r="B117" s="132" t="s">
        <v>775</v>
      </c>
      <c r="C117" s="131" t="s">
        <v>776</v>
      </c>
      <c r="D117" s="136">
        <v>4</v>
      </c>
      <c r="E117" s="132" t="s">
        <v>11</v>
      </c>
      <c r="F117" s="133" t="s">
        <v>777</v>
      </c>
      <c r="G117" s="132" t="s">
        <v>107</v>
      </c>
      <c r="H117" s="118" t="s">
        <v>37</v>
      </c>
      <c r="J117"/>
    </row>
    <row r="118" spans="1:10">
      <c r="E118" s="160"/>
    </row>
  </sheetData>
  <mergeCells count="11">
    <mergeCell ref="A1:H1"/>
    <mergeCell ref="G2:G3"/>
    <mergeCell ref="B2:B3"/>
    <mergeCell ref="B35:B37"/>
    <mergeCell ref="B38:B40"/>
    <mergeCell ref="H2:H3"/>
    <mergeCell ref="D2:D3"/>
    <mergeCell ref="F2:F3"/>
    <mergeCell ref="C2:C3"/>
    <mergeCell ref="E2:E3"/>
    <mergeCell ref="B29:H29"/>
  </mergeCells>
  <phoneticPr fontId="4" type="noConversion"/>
  <printOptions gridLines="1"/>
  <pageMargins left="0.70866141732283472" right="0.70866141732283472" top="0.74803149606299213" bottom="0.74803149606299213" header="0.31496062992125984" footer="0.31496062992125984"/>
  <pageSetup paperSize="8" scale="82" fitToHeight="0" orientation="landscape" r:id="rId1"/>
  <headerFooter>
    <oddHeader>&amp;C&amp;A</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ED41B-D5F8-4AD1-A796-1C6350A0A5CA}">
  <dimension ref="A1:H31"/>
  <sheetViews>
    <sheetView zoomScaleNormal="100" workbookViewId="0">
      <selection sqref="A1:H1"/>
    </sheetView>
  </sheetViews>
  <sheetFormatPr defaultColWidth="11.42578125" defaultRowHeight="15"/>
  <cols>
    <col min="1" max="1" width="11.42578125" style="60"/>
    <col min="3" max="3" width="47.85546875" style="89" customWidth="1"/>
    <col min="4" max="5" width="11.42578125" style="60"/>
    <col min="6" max="6" width="22.42578125" style="72" customWidth="1"/>
    <col min="10" max="10" width="15.42578125" customWidth="1"/>
  </cols>
  <sheetData>
    <row r="1" spans="1:8" ht="21.75" thickBot="1">
      <c r="A1" s="273" t="s">
        <v>18</v>
      </c>
      <c r="B1" s="273"/>
      <c r="C1" s="273"/>
      <c r="D1" s="273"/>
      <c r="E1" s="273"/>
      <c r="F1" s="273"/>
      <c r="G1" s="273"/>
      <c r="H1" s="273"/>
    </row>
    <row r="2" spans="1:8">
      <c r="A2" s="1" t="s">
        <v>19</v>
      </c>
      <c r="B2" s="228" t="s">
        <v>20</v>
      </c>
      <c r="C2" s="228" t="s">
        <v>21</v>
      </c>
      <c r="D2" s="221" t="s">
        <v>22</v>
      </c>
      <c r="E2" s="221" t="s">
        <v>23</v>
      </c>
      <c r="F2" s="221" t="s">
        <v>24</v>
      </c>
      <c r="G2" s="221" t="s">
        <v>25</v>
      </c>
      <c r="H2" s="228" t="s">
        <v>26</v>
      </c>
    </row>
    <row r="3" spans="1:8" ht="15.75" thickBot="1">
      <c r="A3" s="86" t="s">
        <v>27</v>
      </c>
      <c r="B3" s="222"/>
      <c r="C3" s="232"/>
      <c r="D3" s="222"/>
      <c r="E3" s="222"/>
      <c r="F3" s="222"/>
      <c r="G3" s="222" t="s">
        <v>25</v>
      </c>
      <c r="H3" s="222"/>
    </row>
    <row r="4" spans="1:8" ht="24.75" thickBot="1">
      <c r="A4" s="44">
        <v>8112</v>
      </c>
      <c r="B4" s="3" t="s">
        <v>778</v>
      </c>
      <c r="C4" s="5" t="s">
        <v>779</v>
      </c>
      <c r="D4" s="8">
        <v>4</v>
      </c>
      <c r="E4" s="3" t="s">
        <v>11</v>
      </c>
      <c r="F4" s="3" t="s">
        <v>780</v>
      </c>
      <c r="G4" s="12" t="s">
        <v>29</v>
      </c>
      <c r="H4" s="18" t="s">
        <v>37</v>
      </c>
    </row>
    <row r="5" spans="1:8" ht="117" customHeight="1" thickBot="1">
      <c r="A5" s="45">
        <v>8114</v>
      </c>
      <c r="B5" s="3" t="s">
        <v>781</v>
      </c>
      <c r="C5" s="5" t="s">
        <v>782</v>
      </c>
      <c r="D5" s="8">
        <v>1</v>
      </c>
      <c r="E5" s="3" t="s">
        <v>114</v>
      </c>
      <c r="F5" s="12" t="s">
        <v>783</v>
      </c>
      <c r="G5" s="12" t="s">
        <v>29</v>
      </c>
      <c r="H5" s="18" t="s">
        <v>37</v>
      </c>
    </row>
    <row r="6" spans="1:8" ht="24.75" thickBot="1">
      <c r="A6" s="45">
        <v>8115</v>
      </c>
      <c r="B6" s="3" t="s">
        <v>784</v>
      </c>
      <c r="C6" s="5" t="s">
        <v>785</v>
      </c>
      <c r="D6" s="8">
        <v>2</v>
      </c>
      <c r="E6" s="3" t="s">
        <v>7</v>
      </c>
      <c r="F6" s="126">
        <v>1E-3</v>
      </c>
      <c r="G6" s="12" t="s">
        <v>29</v>
      </c>
      <c r="H6" s="18" t="s">
        <v>37</v>
      </c>
    </row>
    <row r="7" spans="1:8" ht="24.75" thickBot="1">
      <c r="A7" s="45">
        <v>8116</v>
      </c>
      <c r="B7" s="3" t="s">
        <v>786</v>
      </c>
      <c r="C7" s="5" t="s">
        <v>787</v>
      </c>
      <c r="D7" s="8">
        <v>2</v>
      </c>
      <c r="E7" s="3" t="s">
        <v>9</v>
      </c>
      <c r="F7" s="3" t="s">
        <v>112</v>
      </c>
      <c r="G7" s="12" t="s">
        <v>29</v>
      </c>
      <c r="H7" s="18" t="s">
        <v>37</v>
      </c>
    </row>
    <row r="8" spans="1:8" ht="24.75" thickBot="1">
      <c r="A8" s="45">
        <v>8117</v>
      </c>
      <c r="B8" s="3" t="s">
        <v>788</v>
      </c>
      <c r="C8" s="5" t="s">
        <v>789</v>
      </c>
      <c r="D8" s="8">
        <v>2</v>
      </c>
      <c r="E8" s="3" t="s">
        <v>9</v>
      </c>
      <c r="F8" s="3" t="s">
        <v>112</v>
      </c>
      <c r="G8" s="12" t="s">
        <v>29</v>
      </c>
      <c r="H8" s="18" t="s">
        <v>37</v>
      </c>
    </row>
    <row r="9" spans="1:8" ht="24.75" thickBot="1">
      <c r="A9" s="45">
        <v>8118</v>
      </c>
      <c r="B9" s="3" t="s">
        <v>790</v>
      </c>
      <c r="C9" s="5" t="s">
        <v>791</v>
      </c>
      <c r="D9" s="8">
        <v>2</v>
      </c>
      <c r="E9" s="3" t="s">
        <v>9</v>
      </c>
      <c r="F9" s="3" t="s">
        <v>112</v>
      </c>
      <c r="G9" s="12" t="s">
        <v>29</v>
      </c>
      <c r="H9" s="18" t="s">
        <v>37</v>
      </c>
    </row>
    <row r="10" spans="1:8" ht="24.75" thickBot="1">
      <c r="A10" s="45">
        <v>8119</v>
      </c>
      <c r="B10" s="3" t="s">
        <v>792</v>
      </c>
      <c r="C10" s="5" t="s">
        <v>793</v>
      </c>
      <c r="D10" s="8">
        <v>2</v>
      </c>
      <c r="E10" s="3" t="s">
        <v>9</v>
      </c>
      <c r="F10" s="3" t="s">
        <v>112</v>
      </c>
      <c r="G10" s="12" t="s">
        <v>29</v>
      </c>
      <c r="H10" s="18" t="s">
        <v>37</v>
      </c>
    </row>
    <row r="11" spans="1:8" ht="24.75" thickBot="1">
      <c r="A11" s="45">
        <v>8120</v>
      </c>
      <c r="B11" s="3" t="s">
        <v>794</v>
      </c>
      <c r="C11" s="5" t="s">
        <v>795</v>
      </c>
      <c r="D11" s="8">
        <v>1</v>
      </c>
      <c r="E11" s="3" t="s">
        <v>114</v>
      </c>
      <c r="F11" s="8" t="s">
        <v>564</v>
      </c>
      <c r="G11" s="12" t="s">
        <v>29</v>
      </c>
      <c r="H11" s="18" t="s">
        <v>37</v>
      </c>
    </row>
    <row r="12" spans="1:8" ht="24.75" thickBot="1">
      <c r="A12" s="45">
        <v>8121</v>
      </c>
      <c r="B12" s="3" t="s">
        <v>796</v>
      </c>
      <c r="C12" s="5" t="s">
        <v>797</v>
      </c>
      <c r="D12" s="8">
        <v>1</v>
      </c>
      <c r="E12" s="3" t="s">
        <v>114</v>
      </c>
      <c r="F12" s="8" t="s">
        <v>564</v>
      </c>
      <c r="G12" s="12" t="s">
        <v>29</v>
      </c>
      <c r="H12" s="18" t="s">
        <v>37</v>
      </c>
    </row>
    <row r="13" spans="1:8" ht="24.75" thickBot="1">
      <c r="A13" s="45">
        <v>8122</v>
      </c>
      <c r="B13" s="3"/>
      <c r="C13" s="5" t="s">
        <v>798</v>
      </c>
      <c r="D13" s="8">
        <v>2</v>
      </c>
      <c r="E13" s="3" t="s">
        <v>9</v>
      </c>
      <c r="F13" s="3" t="s">
        <v>112</v>
      </c>
      <c r="G13" s="12" t="s">
        <v>29</v>
      </c>
      <c r="H13" s="18" t="s">
        <v>37</v>
      </c>
    </row>
    <row r="14" spans="1:8" ht="24.75" thickBot="1">
      <c r="A14" s="45">
        <v>8123</v>
      </c>
      <c r="B14" s="3"/>
      <c r="C14" s="5" t="s">
        <v>799</v>
      </c>
      <c r="D14" s="8">
        <v>2</v>
      </c>
      <c r="E14" s="3" t="s">
        <v>9</v>
      </c>
      <c r="F14" s="3" t="s">
        <v>112</v>
      </c>
      <c r="G14" s="12" t="s">
        <v>29</v>
      </c>
      <c r="H14" s="18" t="s">
        <v>37</v>
      </c>
    </row>
    <row r="15" spans="1:8" ht="15.75" thickBot="1">
      <c r="A15" s="73" t="s">
        <v>800</v>
      </c>
      <c r="B15" s="235" t="s">
        <v>801</v>
      </c>
      <c r="C15" s="236"/>
      <c r="D15" s="236"/>
      <c r="E15" s="236"/>
      <c r="F15" s="236"/>
      <c r="G15" s="236"/>
      <c r="H15" s="237"/>
    </row>
    <row r="16" spans="1:8" ht="96" customHeight="1" thickBot="1">
      <c r="A16" s="45">
        <v>8141</v>
      </c>
      <c r="B16" s="3" t="s">
        <v>802</v>
      </c>
      <c r="C16" s="5" t="s">
        <v>803</v>
      </c>
      <c r="D16" s="8">
        <v>1</v>
      </c>
      <c r="E16" s="3" t="s">
        <v>114</v>
      </c>
      <c r="F16" s="12" t="s">
        <v>804</v>
      </c>
      <c r="G16" s="12" t="s">
        <v>107</v>
      </c>
      <c r="H16" s="18" t="s">
        <v>37</v>
      </c>
    </row>
    <row r="17" spans="1:8" ht="52.5" customHeight="1" thickBot="1">
      <c r="A17" s="45">
        <v>8142</v>
      </c>
      <c r="B17" s="3" t="s">
        <v>805</v>
      </c>
      <c r="C17" s="5" t="s">
        <v>806</v>
      </c>
      <c r="D17" s="8">
        <v>1</v>
      </c>
      <c r="E17" s="3" t="s">
        <v>114</v>
      </c>
      <c r="F17" s="12" t="s">
        <v>807</v>
      </c>
      <c r="G17" s="12" t="s">
        <v>107</v>
      </c>
      <c r="H17" s="18" t="s">
        <v>37</v>
      </c>
    </row>
    <row r="18" spans="1:8" ht="15.75" thickBot="1">
      <c r="A18" s="45">
        <v>8143</v>
      </c>
      <c r="B18" s="3" t="s">
        <v>808</v>
      </c>
      <c r="C18" s="5" t="s">
        <v>809</v>
      </c>
      <c r="D18" s="8">
        <v>2</v>
      </c>
      <c r="E18" s="3" t="s">
        <v>7</v>
      </c>
      <c r="F18" s="3" t="s">
        <v>112</v>
      </c>
      <c r="G18" s="12" t="s">
        <v>107</v>
      </c>
      <c r="H18" s="18" t="s">
        <v>37</v>
      </c>
    </row>
    <row r="19" spans="1:8" ht="36.75" thickBot="1">
      <c r="A19" s="45">
        <v>8144</v>
      </c>
      <c r="B19" s="3" t="s">
        <v>810</v>
      </c>
      <c r="C19" s="5" t="s">
        <v>811</v>
      </c>
      <c r="D19" s="3">
        <v>2</v>
      </c>
      <c r="E19" s="3" t="s">
        <v>7</v>
      </c>
      <c r="F19" s="3" t="s">
        <v>112</v>
      </c>
      <c r="G19" s="12" t="s">
        <v>107</v>
      </c>
      <c r="H19" s="18" t="s">
        <v>37</v>
      </c>
    </row>
    <row r="20" spans="1:8" ht="24.75" thickBot="1">
      <c r="A20" s="45">
        <v>8145</v>
      </c>
      <c r="B20" s="3" t="s">
        <v>812</v>
      </c>
      <c r="C20" s="5" t="s">
        <v>813</v>
      </c>
      <c r="D20" s="3">
        <v>2</v>
      </c>
      <c r="E20" s="3" t="s">
        <v>7</v>
      </c>
      <c r="F20" s="3" t="s">
        <v>112</v>
      </c>
      <c r="G20" s="12" t="s">
        <v>107</v>
      </c>
      <c r="H20" s="18" t="s">
        <v>37</v>
      </c>
    </row>
    <row r="21" spans="1:8" ht="24.75" thickBot="1">
      <c r="A21" s="45">
        <v>8146</v>
      </c>
      <c r="B21" s="3" t="s">
        <v>814</v>
      </c>
      <c r="C21" s="5" t="s">
        <v>815</v>
      </c>
      <c r="D21" s="3">
        <v>2</v>
      </c>
      <c r="E21" s="3" t="s">
        <v>7</v>
      </c>
      <c r="F21" s="3" t="s">
        <v>112</v>
      </c>
      <c r="G21" s="12" t="s">
        <v>107</v>
      </c>
      <c r="H21" s="18" t="s">
        <v>37</v>
      </c>
    </row>
    <row r="22" spans="1:8" ht="15.75" thickBot="1">
      <c r="A22" s="45">
        <v>8147</v>
      </c>
      <c r="B22" s="3" t="s">
        <v>816</v>
      </c>
      <c r="C22" s="5" t="s">
        <v>817</v>
      </c>
      <c r="D22" s="3">
        <v>2</v>
      </c>
      <c r="E22" s="3" t="s">
        <v>7</v>
      </c>
      <c r="F22" s="3" t="s">
        <v>112</v>
      </c>
      <c r="G22" s="12" t="s">
        <v>107</v>
      </c>
      <c r="H22" s="18" t="s">
        <v>37</v>
      </c>
    </row>
    <row r="23" spans="1:8" ht="15.75" thickBot="1">
      <c r="A23" s="45">
        <v>8148</v>
      </c>
      <c r="B23" s="3" t="s">
        <v>818</v>
      </c>
      <c r="C23" s="5" t="s">
        <v>819</v>
      </c>
      <c r="D23" s="3">
        <v>2</v>
      </c>
      <c r="E23" s="3" t="s">
        <v>7</v>
      </c>
      <c r="F23" s="3" t="s">
        <v>112</v>
      </c>
      <c r="G23" s="12" t="s">
        <v>107</v>
      </c>
      <c r="H23" s="18" t="s">
        <v>37</v>
      </c>
    </row>
    <row r="24" spans="1:8" ht="24.75" thickBot="1">
      <c r="A24" s="45">
        <v>8149</v>
      </c>
      <c r="B24" s="3" t="s">
        <v>820</v>
      </c>
      <c r="C24" s="5" t="s">
        <v>821</v>
      </c>
      <c r="D24" s="3">
        <v>2</v>
      </c>
      <c r="E24" s="3" t="s">
        <v>7</v>
      </c>
      <c r="F24" s="3" t="s">
        <v>112</v>
      </c>
      <c r="G24" s="12" t="s">
        <v>107</v>
      </c>
      <c r="H24" s="18" t="s">
        <v>37</v>
      </c>
    </row>
    <row r="25" spans="1:8" ht="24.75" thickBot="1">
      <c r="A25" s="45">
        <v>8150</v>
      </c>
      <c r="B25" s="3" t="s">
        <v>822</v>
      </c>
      <c r="C25" s="5" t="s">
        <v>821</v>
      </c>
      <c r="D25" s="3">
        <v>2</v>
      </c>
      <c r="E25" s="3" t="s">
        <v>7</v>
      </c>
      <c r="F25" s="3" t="s">
        <v>112</v>
      </c>
      <c r="G25" s="12" t="s">
        <v>107</v>
      </c>
      <c r="H25" s="18" t="s">
        <v>37</v>
      </c>
    </row>
    <row r="31" spans="1:8">
      <c r="C31"/>
      <c r="F31"/>
    </row>
  </sheetData>
  <mergeCells count="9">
    <mergeCell ref="B15:H15"/>
    <mergeCell ref="A1:H1"/>
    <mergeCell ref="G2:G3"/>
    <mergeCell ref="H2:H3"/>
    <mergeCell ref="D2:D3"/>
    <mergeCell ref="E2:E3"/>
    <mergeCell ref="B2:B3"/>
    <mergeCell ref="C2:C3"/>
    <mergeCell ref="F2:F3"/>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9F715-811D-485E-8AC0-DC1402429D03}">
  <dimension ref="A1:I16"/>
  <sheetViews>
    <sheetView zoomScale="70" zoomScaleNormal="70" workbookViewId="0">
      <selection activeCell="F5" sqref="F5"/>
    </sheetView>
  </sheetViews>
  <sheetFormatPr defaultColWidth="11.42578125" defaultRowHeight="15"/>
  <cols>
    <col min="1" max="1" width="11.42578125" style="119"/>
    <col min="2" max="2" width="11.42578125" style="87"/>
    <col min="3" max="3" width="46.5703125" style="83" customWidth="1"/>
    <col min="4" max="4" width="11.42578125" style="87"/>
    <col min="5" max="5" width="17.5703125" style="87" customWidth="1"/>
    <col min="6" max="6" width="95" style="83" customWidth="1"/>
    <col min="7" max="7" width="13.5703125" style="87" customWidth="1"/>
    <col min="8" max="16384" width="11.42578125" style="89"/>
  </cols>
  <sheetData>
    <row r="1" spans="1:9" ht="23.25">
      <c r="A1" s="290" t="s">
        <v>18</v>
      </c>
      <c r="B1" s="290"/>
      <c r="C1" s="290"/>
      <c r="D1" s="290"/>
      <c r="E1" s="290"/>
      <c r="F1" s="290"/>
      <c r="G1" s="290"/>
      <c r="H1" s="290"/>
    </row>
    <row r="2" spans="1:9" ht="21.75" thickBot="1">
      <c r="A2" s="288" t="s">
        <v>823</v>
      </c>
      <c r="B2" s="289"/>
      <c r="C2" s="289"/>
      <c r="D2" s="289"/>
      <c r="E2" s="289"/>
      <c r="F2" s="289"/>
      <c r="G2" s="289"/>
      <c r="H2" s="289"/>
    </row>
    <row r="3" spans="1:9">
      <c r="A3" s="105" t="s">
        <v>19</v>
      </c>
      <c r="B3" s="228" t="s">
        <v>20</v>
      </c>
      <c r="C3" s="283" t="s">
        <v>21</v>
      </c>
      <c r="D3" s="228" t="s">
        <v>22</v>
      </c>
      <c r="E3" s="228" t="s">
        <v>23</v>
      </c>
      <c r="F3" s="283" t="s">
        <v>24</v>
      </c>
      <c r="G3" s="228" t="s">
        <v>348</v>
      </c>
      <c r="H3" s="228" t="s">
        <v>26</v>
      </c>
    </row>
    <row r="4" spans="1:9" ht="15.75" thickBot="1">
      <c r="A4" s="218" t="s">
        <v>27</v>
      </c>
      <c r="B4" s="232"/>
      <c r="C4" s="284"/>
      <c r="D4" s="232"/>
      <c r="E4" s="232"/>
      <c r="F4" s="284"/>
      <c r="G4" s="232"/>
      <c r="H4" s="232"/>
    </row>
    <row r="5" spans="1:9" ht="96" customHeight="1" thickBot="1">
      <c r="A5" s="213">
        <v>9001</v>
      </c>
      <c r="B5" s="214" t="s">
        <v>824</v>
      </c>
      <c r="C5" s="215" t="s">
        <v>825</v>
      </c>
      <c r="D5" s="214">
        <v>1</v>
      </c>
      <c r="E5" s="216" t="s">
        <v>114</v>
      </c>
      <c r="F5" s="217" t="s">
        <v>826</v>
      </c>
      <c r="G5" s="216" t="s">
        <v>107</v>
      </c>
      <c r="H5" s="18" t="s">
        <v>37</v>
      </c>
    </row>
    <row r="6" spans="1:9" ht="47.25" customHeight="1" thickBot="1">
      <c r="A6" s="141">
        <v>9002</v>
      </c>
      <c r="B6" s="145" t="s">
        <v>827</v>
      </c>
      <c r="C6" s="147" t="s">
        <v>828</v>
      </c>
      <c r="D6" s="145">
        <v>1</v>
      </c>
      <c r="E6" s="146" t="s">
        <v>114</v>
      </c>
      <c r="F6" s="169" t="s">
        <v>829</v>
      </c>
      <c r="G6" s="143" t="s">
        <v>107</v>
      </c>
      <c r="H6" s="18" t="s">
        <v>37</v>
      </c>
    </row>
    <row r="7" spans="1:9" ht="33.75" customHeight="1" thickBot="1">
      <c r="A7" s="141">
        <v>9003</v>
      </c>
      <c r="B7" s="142" t="s">
        <v>830</v>
      </c>
      <c r="C7" s="144" t="s">
        <v>831</v>
      </c>
      <c r="D7" s="142">
        <v>2</v>
      </c>
      <c r="E7" s="143" t="s">
        <v>7</v>
      </c>
      <c r="F7" s="168" t="s">
        <v>832</v>
      </c>
      <c r="G7" s="143" t="s">
        <v>107</v>
      </c>
      <c r="H7" s="18" t="s">
        <v>37</v>
      </c>
    </row>
    <row r="8" spans="1:9" ht="58.5" customHeight="1" thickBot="1">
      <c r="A8" s="141">
        <v>9004</v>
      </c>
      <c r="B8" s="145" t="s">
        <v>833</v>
      </c>
      <c r="C8" s="147" t="s">
        <v>834</v>
      </c>
      <c r="D8" s="145">
        <v>1</v>
      </c>
      <c r="E8" s="146" t="s">
        <v>114</v>
      </c>
      <c r="F8" s="169" t="s">
        <v>835</v>
      </c>
      <c r="G8" s="143" t="s">
        <v>107</v>
      </c>
      <c r="H8" s="18" t="s">
        <v>37</v>
      </c>
    </row>
    <row r="9" spans="1:9" ht="48.75" customHeight="1" thickBot="1">
      <c r="A9" s="141">
        <v>9005</v>
      </c>
      <c r="B9" s="142" t="s">
        <v>836</v>
      </c>
      <c r="C9" s="144" t="s">
        <v>837</v>
      </c>
      <c r="D9" s="142">
        <v>1</v>
      </c>
      <c r="E9" s="143" t="s">
        <v>114</v>
      </c>
      <c r="F9" s="170" t="s">
        <v>838</v>
      </c>
      <c r="G9" s="143" t="s">
        <v>107</v>
      </c>
      <c r="H9" s="18" t="s">
        <v>37</v>
      </c>
    </row>
    <row r="10" spans="1:9" ht="24" customHeight="1" thickBot="1">
      <c r="A10" s="141">
        <v>9006</v>
      </c>
      <c r="B10" s="145" t="s">
        <v>839</v>
      </c>
      <c r="C10" s="147" t="s">
        <v>840</v>
      </c>
      <c r="D10" s="145">
        <v>1</v>
      </c>
      <c r="E10" s="146" t="s">
        <v>5</v>
      </c>
      <c r="F10" s="169" t="s">
        <v>841</v>
      </c>
      <c r="G10" s="143" t="s">
        <v>107</v>
      </c>
      <c r="H10" s="18" t="s">
        <v>37</v>
      </c>
    </row>
    <row r="11" spans="1:9" ht="45.75" thickBot="1">
      <c r="A11" s="141">
        <v>9007</v>
      </c>
      <c r="B11" s="142" t="s">
        <v>842</v>
      </c>
      <c r="C11" s="144" t="s">
        <v>843</v>
      </c>
      <c r="D11" s="142">
        <v>1</v>
      </c>
      <c r="E11" s="143" t="s">
        <v>114</v>
      </c>
      <c r="F11" s="168" t="s">
        <v>844</v>
      </c>
      <c r="G11" s="143" t="s">
        <v>29</v>
      </c>
      <c r="H11" s="18" t="s">
        <v>37</v>
      </c>
    </row>
    <row r="12" spans="1:9" ht="45.75" thickBot="1">
      <c r="A12" s="141">
        <v>9008</v>
      </c>
      <c r="B12" s="143" t="s">
        <v>845</v>
      </c>
      <c r="C12" s="144" t="s">
        <v>846</v>
      </c>
      <c r="D12" s="143">
        <v>1</v>
      </c>
      <c r="E12" s="143" t="s">
        <v>114</v>
      </c>
      <c r="F12" s="144" t="s">
        <v>844</v>
      </c>
      <c r="G12" s="143" t="s">
        <v>29</v>
      </c>
      <c r="H12" s="18" t="s">
        <v>37</v>
      </c>
      <c r="I12" s="111"/>
    </row>
    <row r="13" spans="1:9" ht="75.75" thickBot="1">
      <c r="A13" s="141">
        <v>9009</v>
      </c>
      <c r="B13" s="145" t="s">
        <v>847</v>
      </c>
      <c r="C13" s="147" t="s">
        <v>848</v>
      </c>
      <c r="D13" s="145">
        <v>1</v>
      </c>
      <c r="E13" s="146" t="s">
        <v>114</v>
      </c>
      <c r="F13" s="171" t="s">
        <v>849</v>
      </c>
      <c r="G13" s="198" t="s">
        <v>107</v>
      </c>
      <c r="H13" s="18" t="s">
        <v>37</v>
      </c>
      <c r="I13" s="111"/>
    </row>
    <row r="14" spans="1:9" ht="75.75" thickBot="1">
      <c r="A14" s="141">
        <v>9010</v>
      </c>
      <c r="B14" s="142" t="s">
        <v>850</v>
      </c>
      <c r="C14" s="144" t="s">
        <v>851</v>
      </c>
      <c r="D14" s="142">
        <v>1</v>
      </c>
      <c r="E14" s="143" t="s">
        <v>114</v>
      </c>
      <c r="F14" s="168" t="s">
        <v>849</v>
      </c>
      <c r="G14" s="143" t="s">
        <v>107</v>
      </c>
      <c r="H14" s="18" t="s">
        <v>37</v>
      </c>
    </row>
    <row r="15" spans="1:9" ht="63" customHeight="1" thickBot="1">
      <c r="A15" s="141">
        <v>9011</v>
      </c>
      <c r="B15" s="145" t="s">
        <v>852</v>
      </c>
      <c r="C15" s="147" t="s">
        <v>853</v>
      </c>
      <c r="D15" s="145">
        <v>1</v>
      </c>
      <c r="E15" s="146" t="s">
        <v>114</v>
      </c>
      <c r="F15" s="171" t="s">
        <v>854</v>
      </c>
      <c r="G15" s="146" t="s">
        <v>107</v>
      </c>
      <c r="H15" s="18" t="s">
        <v>37</v>
      </c>
    </row>
    <row r="16" spans="1:9" ht="63" customHeight="1" thickBot="1">
      <c r="A16" s="141">
        <v>9012</v>
      </c>
      <c r="B16" s="142" t="s">
        <v>855</v>
      </c>
      <c r="C16" s="144" t="s">
        <v>856</v>
      </c>
      <c r="D16" s="142">
        <v>1</v>
      </c>
      <c r="E16" s="143" t="s">
        <v>114</v>
      </c>
      <c r="F16" s="168" t="s">
        <v>854</v>
      </c>
      <c r="G16" s="143" t="s">
        <v>107</v>
      </c>
      <c r="H16" s="18" t="s">
        <v>37</v>
      </c>
    </row>
  </sheetData>
  <mergeCells count="9">
    <mergeCell ref="A2:H2"/>
    <mergeCell ref="A1:H1"/>
    <mergeCell ref="B3:B4"/>
    <mergeCell ref="C3:C4"/>
    <mergeCell ref="F3:F4"/>
    <mergeCell ref="G3:G4"/>
    <mergeCell ref="H3:H4"/>
    <mergeCell ref="D3:D4"/>
    <mergeCell ref="E3:E4"/>
  </mergeCells>
  <phoneticPr fontId="4"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16198-66B5-4DB3-8E83-383A61F2742F}">
  <dimension ref="A1:J32"/>
  <sheetViews>
    <sheetView zoomScaleNormal="100" workbookViewId="0">
      <selection sqref="A1:H1"/>
    </sheetView>
  </sheetViews>
  <sheetFormatPr defaultColWidth="11.42578125" defaultRowHeight="15"/>
  <cols>
    <col min="2" max="2" width="11.42578125" style="60"/>
    <col min="3" max="3" width="28.42578125" style="89" customWidth="1"/>
    <col min="4" max="5" width="11.42578125" style="60"/>
    <col min="6" max="6" width="23.7109375" style="11" customWidth="1"/>
    <col min="7" max="8" width="11.42578125" style="60"/>
  </cols>
  <sheetData>
    <row r="1" spans="1:8" ht="21.75" thickBot="1">
      <c r="A1" s="289" t="s">
        <v>18</v>
      </c>
      <c r="B1" s="289"/>
      <c r="C1" s="289"/>
      <c r="D1" s="289"/>
      <c r="E1" s="289"/>
      <c r="F1" s="289"/>
      <c r="G1" s="289"/>
      <c r="H1" s="289"/>
    </row>
    <row r="2" spans="1:8">
      <c r="A2" s="1" t="s">
        <v>19</v>
      </c>
      <c r="B2" s="228" t="s">
        <v>20</v>
      </c>
      <c r="C2" s="228" t="s">
        <v>21</v>
      </c>
      <c r="D2" s="221" t="s">
        <v>22</v>
      </c>
      <c r="E2" s="221" t="s">
        <v>23</v>
      </c>
      <c r="F2" s="283" t="s">
        <v>24</v>
      </c>
      <c r="G2" s="228" t="s">
        <v>25</v>
      </c>
      <c r="H2" s="228" t="s">
        <v>26</v>
      </c>
    </row>
    <row r="3" spans="1:8" ht="15.75" thickBot="1">
      <c r="A3" s="86" t="s">
        <v>27</v>
      </c>
      <c r="B3" s="222"/>
      <c r="C3" s="232"/>
      <c r="D3" s="222"/>
      <c r="E3" s="222"/>
      <c r="F3" s="291"/>
      <c r="G3" s="232"/>
      <c r="H3" s="222"/>
    </row>
    <row r="4" spans="1:8" ht="15.75" thickBot="1">
      <c r="A4" s="44">
        <v>9200</v>
      </c>
      <c r="B4" s="138" t="s">
        <v>186</v>
      </c>
      <c r="C4" s="5" t="s">
        <v>187</v>
      </c>
      <c r="D4" s="3">
        <v>2</v>
      </c>
      <c r="E4" s="75" t="s">
        <v>9</v>
      </c>
      <c r="F4" s="8" t="s">
        <v>112</v>
      </c>
      <c r="G4" s="8" t="s">
        <v>29</v>
      </c>
      <c r="H4" s="18" t="s">
        <v>37</v>
      </c>
    </row>
    <row r="5" spans="1:8" ht="15.75" thickBot="1">
      <c r="A5" s="45">
        <v>9201</v>
      </c>
      <c r="B5" s="138" t="s">
        <v>188</v>
      </c>
      <c r="C5" s="5" t="s">
        <v>189</v>
      </c>
      <c r="D5" s="3">
        <v>2</v>
      </c>
      <c r="E5" s="37" t="s">
        <v>9</v>
      </c>
      <c r="F5" s="8" t="s">
        <v>112</v>
      </c>
      <c r="G5" s="8" t="s">
        <v>29</v>
      </c>
      <c r="H5" s="18" t="s">
        <v>37</v>
      </c>
    </row>
    <row r="6" spans="1:8" ht="24.75" thickBot="1">
      <c r="A6" s="45">
        <v>9202</v>
      </c>
      <c r="B6" s="138" t="s">
        <v>196</v>
      </c>
      <c r="C6" s="5" t="s">
        <v>197</v>
      </c>
      <c r="D6" s="3">
        <v>2</v>
      </c>
      <c r="E6" s="37" t="s">
        <v>7</v>
      </c>
      <c r="F6" s="8" t="s">
        <v>112</v>
      </c>
      <c r="G6" s="8" t="s">
        <v>29</v>
      </c>
      <c r="H6" s="18" t="s">
        <v>37</v>
      </c>
    </row>
    <row r="7" spans="1:8" ht="15.75" thickBot="1">
      <c r="A7" s="45">
        <v>9203</v>
      </c>
      <c r="B7" s="138" t="s">
        <v>204</v>
      </c>
      <c r="C7" s="5" t="s">
        <v>205</v>
      </c>
      <c r="D7" s="3">
        <v>1</v>
      </c>
      <c r="E7" s="37" t="s">
        <v>34</v>
      </c>
      <c r="F7" s="8" t="s">
        <v>206</v>
      </c>
      <c r="G7" s="8" t="s">
        <v>29</v>
      </c>
      <c r="H7" s="18" t="s">
        <v>37</v>
      </c>
    </row>
    <row r="8" spans="1:8" ht="15.75" thickBot="1">
      <c r="A8" s="45">
        <v>9204</v>
      </c>
      <c r="B8" s="138" t="s">
        <v>210</v>
      </c>
      <c r="C8" s="5" t="s">
        <v>211</v>
      </c>
      <c r="D8" s="3">
        <v>1</v>
      </c>
      <c r="E8" s="37" t="s">
        <v>34</v>
      </c>
      <c r="F8" s="12" t="s">
        <v>212</v>
      </c>
      <c r="G8" s="8" t="s">
        <v>29</v>
      </c>
      <c r="H8" s="18" t="s">
        <v>37</v>
      </c>
    </row>
    <row r="9" spans="1:8" ht="15.75" thickBot="1">
      <c r="A9" s="45">
        <v>9205</v>
      </c>
      <c r="B9" s="138" t="s">
        <v>213</v>
      </c>
      <c r="C9" s="5" t="s">
        <v>214</v>
      </c>
      <c r="D9" s="3">
        <v>1</v>
      </c>
      <c r="E9" s="37" t="s">
        <v>34</v>
      </c>
      <c r="F9" s="12" t="s">
        <v>212</v>
      </c>
      <c r="G9" s="8" t="s">
        <v>29</v>
      </c>
      <c r="H9" s="18" t="s">
        <v>37</v>
      </c>
    </row>
    <row r="10" spans="1:8" ht="15.75" thickBot="1">
      <c r="A10" s="45">
        <v>9206</v>
      </c>
      <c r="B10" s="138" t="s">
        <v>137</v>
      </c>
      <c r="C10" s="139" t="s">
        <v>226</v>
      </c>
      <c r="D10" s="37">
        <v>4</v>
      </c>
      <c r="E10" s="37" t="s">
        <v>11</v>
      </c>
      <c r="F10" s="38" t="s">
        <v>49</v>
      </c>
      <c r="G10" s="38" t="s">
        <v>29</v>
      </c>
      <c r="H10" s="18" t="s">
        <v>37</v>
      </c>
    </row>
    <row r="11" spans="1:8" ht="15.75" thickBot="1">
      <c r="A11" s="45">
        <v>9208</v>
      </c>
      <c r="B11" s="138" t="s">
        <v>139</v>
      </c>
      <c r="C11" s="139" t="s">
        <v>140</v>
      </c>
      <c r="D11" s="37">
        <v>4</v>
      </c>
      <c r="E11" s="37" t="s">
        <v>11</v>
      </c>
      <c r="F11" s="38" t="s">
        <v>141</v>
      </c>
      <c r="G11" s="38" t="s">
        <v>29</v>
      </c>
      <c r="H11" s="18" t="s">
        <v>37</v>
      </c>
    </row>
    <row r="12" spans="1:8" ht="24.75" thickBot="1">
      <c r="A12" s="45">
        <v>9210</v>
      </c>
      <c r="B12" s="138" t="s">
        <v>155</v>
      </c>
      <c r="C12" s="140" t="s">
        <v>156</v>
      </c>
      <c r="D12" s="38">
        <v>4</v>
      </c>
      <c r="E12" s="37" t="s">
        <v>11</v>
      </c>
      <c r="F12" s="37" t="s">
        <v>141</v>
      </c>
      <c r="G12" s="37" t="s">
        <v>29</v>
      </c>
      <c r="H12" s="18" t="s">
        <v>37</v>
      </c>
    </row>
    <row r="13" spans="1:8" ht="24.75" thickBot="1">
      <c r="A13" s="45">
        <v>9212</v>
      </c>
      <c r="B13" s="138" t="s">
        <v>227</v>
      </c>
      <c r="C13" s="139" t="s">
        <v>857</v>
      </c>
      <c r="D13" s="37">
        <v>4</v>
      </c>
      <c r="E13" s="37" t="s">
        <v>11</v>
      </c>
      <c r="F13" s="38" t="s">
        <v>229</v>
      </c>
      <c r="G13" s="38" t="s">
        <v>29</v>
      </c>
      <c r="H13" s="18" t="s">
        <v>37</v>
      </c>
    </row>
    <row r="14" spans="1:8" ht="24.75" thickBot="1">
      <c r="A14" s="45">
        <v>9214</v>
      </c>
      <c r="B14" s="138" t="s">
        <v>230</v>
      </c>
      <c r="C14" s="139" t="s">
        <v>231</v>
      </c>
      <c r="D14" s="37">
        <v>4</v>
      </c>
      <c r="E14" s="37" t="s">
        <v>11</v>
      </c>
      <c r="F14" s="38" t="s">
        <v>229</v>
      </c>
      <c r="G14" s="38" t="s">
        <v>29</v>
      </c>
      <c r="H14" s="18" t="s">
        <v>37</v>
      </c>
    </row>
    <row r="15" spans="1:8" ht="24.75" thickBot="1">
      <c r="A15" s="45">
        <v>9216</v>
      </c>
      <c r="B15" s="138" t="s">
        <v>256</v>
      </c>
      <c r="C15" s="128" t="s">
        <v>257</v>
      </c>
      <c r="D15" s="113">
        <v>2</v>
      </c>
      <c r="E15" s="37" t="s">
        <v>7</v>
      </c>
      <c r="F15" s="113" t="s">
        <v>112</v>
      </c>
      <c r="G15" s="113" t="s">
        <v>29</v>
      </c>
      <c r="H15" s="18" t="s">
        <v>37</v>
      </c>
    </row>
    <row r="16" spans="1:8" ht="15.75" thickBot="1">
      <c r="A16" s="45">
        <v>9217</v>
      </c>
      <c r="B16" s="138" t="s">
        <v>258</v>
      </c>
      <c r="C16" s="128" t="s">
        <v>259</v>
      </c>
      <c r="D16" s="113">
        <v>2</v>
      </c>
      <c r="E16" s="37" t="s">
        <v>7</v>
      </c>
      <c r="F16" s="199">
        <v>1E-3</v>
      </c>
      <c r="G16" s="113" t="s">
        <v>29</v>
      </c>
      <c r="H16" s="18" t="s">
        <v>37</v>
      </c>
    </row>
    <row r="17" spans="1:10" ht="24.75" thickBot="1">
      <c r="A17" s="45">
        <v>9218</v>
      </c>
      <c r="B17" s="138" t="s">
        <v>260</v>
      </c>
      <c r="C17" s="128" t="s">
        <v>261</v>
      </c>
      <c r="D17" s="113">
        <v>4</v>
      </c>
      <c r="E17" s="37" t="s">
        <v>11</v>
      </c>
      <c r="F17" s="113" t="s">
        <v>262</v>
      </c>
      <c r="G17" s="113" t="s">
        <v>29</v>
      </c>
      <c r="H17" s="18" t="s">
        <v>37</v>
      </c>
    </row>
    <row r="18" spans="1:10" ht="24.75" thickBot="1">
      <c r="A18" s="45">
        <v>9220</v>
      </c>
      <c r="B18" s="138" t="s">
        <v>349</v>
      </c>
      <c r="C18" s="5" t="s">
        <v>350</v>
      </c>
      <c r="D18" s="3">
        <v>1</v>
      </c>
      <c r="E18" s="166" t="s">
        <v>34</v>
      </c>
      <c r="F18" s="8" t="s">
        <v>347</v>
      </c>
      <c r="G18" s="8" t="s">
        <v>29</v>
      </c>
      <c r="H18" s="18" t="s">
        <v>37</v>
      </c>
    </row>
    <row r="19" spans="1:10" ht="48.75" thickBot="1">
      <c r="A19" s="45">
        <v>9221</v>
      </c>
      <c r="B19" s="113" t="s">
        <v>268</v>
      </c>
      <c r="C19" s="114" t="s">
        <v>269</v>
      </c>
      <c r="D19" s="113">
        <v>1</v>
      </c>
      <c r="E19" s="113" t="s">
        <v>114</v>
      </c>
      <c r="F19" s="114" t="s">
        <v>270</v>
      </c>
      <c r="G19" s="113" t="s">
        <v>107</v>
      </c>
      <c r="H19" s="18" t="s">
        <v>37</v>
      </c>
      <c r="J19" s="167"/>
    </row>
    <row r="20" spans="1:10" ht="15.75" customHeight="1" thickBot="1">
      <c r="A20" s="45">
        <v>9222</v>
      </c>
      <c r="B20" s="113" t="s">
        <v>271</v>
      </c>
      <c r="C20" s="114" t="s">
        <v>272</v>
      </c>
      <c r="D20" s="113">
        <v>1</v>
      </c>
      <c r="E20" s="113" t="s">
        <v>34</v>
      </c>
      <c r="F20" s="113">
        <v>1</v>
      </c>
      <c r="G20" s="113" t="s">
        <v>107</v>
      </c>
      <c r="H20" s="18" t="s">
        <v>37</v>
      </c>
      <c r="J20" s="167"/>
    </row>
    <row r="21" spans="1:10" ht="15.75" customHeight="1" thickBot="1">
      <c r="A21" s="45">
        <v>9223</v>
      </c>
      <c r="B21" s="113" t="s">
        <v>273</v>
      </c>
      <c r="C21" s="114" t="s">
        <v>274</v>
      </c>
      <c r="D21" s="113">
        <v>1</v>
      </c>
      <c r="E21" s="113" t="s">
        <v>34</v>
      </c>
      <c r="F21" s="113">
        <v>1</v>
      </c>
      <c r="G21" s="113" t="s">
        <v>107</v>
      </c>
      <c r="H21" s="18" t="s">
        <v>37</v>
      </c>
      <c r="J21" s="167"/>
    </row>
    <row r="22" spans="1:10" ht="24.75" thickBot="1">
      <c r="A22" s="45">
        <v>9224</v>
      </c>
      <c r="B22" s="113" t="s">
        <v>275</v>
      </c>
      <c r="C22" s="114" t="s">
        <v>276</v>
      </c>
      <c r="D22" s="113">
        <v>1</v>
      </c>
      <c r="E22" s="113" t="s">
        <v>34</v>
      </c>
      <c r="F22" s="113">
        <v>1</v>
      </c>
      <c r="G22" s="113" t="s">
        <v>107</v>
      </c>
      <c r="H22" s="18" t="s">
        <v>37</v>
      </c>
      <c r="J22" s="167"/>
    </row>
    <row r="23" spans="1:10" ht="24.75" customHeight="1" thickBot="1">
      <c r="A23" s="45">
        <v>9225</v>
      </c>
      <c r="B23" s="113" t="s">
        <v>277</v>
      </c>
      <c r="C23" s="114" t="s">
        <v>278</v>
      </c>
      <c r="D23" s="113">
        <v>1</v>
      </c>
      <c r="E23" s="113" t="s">
        <v>34</v>
      </c>
      <c r="F23" s="113">
        <v>1</v>
      </c>
      <c r="G23" s="113" t="s">
        <v>107</v>
      </c>
      <c r="H23" s="18" t="s">
        <v>37</v>
      </c>
      <c r="J23" s="167"/>
    </row>
    <row r="24" spans="1:10" ht="24.75" customHeight="1" thickBot="1">
      <c r="A24" s="45">
        <v>9226</v>
      </c>
      <c r="B24" s="113" t="s">
        <v>279</v>
      </c>
      <c r="C24" s="114" t="s">
        <v>280</v>
      </c>
      <c r="D24" s="113">
        <v>1</v>
      </c>
      <c r="E24" s="113" t="s">
        <v>34</v>
      </c>
      <c r="F24" s="113">
        <v>1</v>
      </c>
      <c r="G24" s="113" t="s">
        <v>107</v>
      </c>
      <c r="H24" s="18" t="s">
        <v>37</v>
      </c>
      <c r="J24" s="167"/>
    </row>
    <row r="25" spans="1:10" ht="15.75" customHeight="1" thickBot="1">
      <c r="A25" s="45">
        <v>9227</v>
      </c>
      <c r="B25" s="113" t="s">
        <v>281</v>
      </c>
      <c r="C25" s="114" t="s">
        <v>282</v>
      </c>
      <c r="D25" s="113">
        <v>1</v>
      </c>
      <c r="E25" s="113" t="s">
        <v>34</v>
      </c>
      <c r="F25" s="113">
        <v>1</v>
      </c>
      <c r="G25" s="113" t="s">
        <v>107</v>
      </c>
      <c r="H25" s="18" t="s">
        <v>37</v>
      </c>
      <c r="J25" s="167"/>
    </row>
    <row r="26" spans="1:10" ht="15.75" customHeight="1" thickBot="1">
      <c r="A26" s="45">
        <v>9228</v>
      </c>
      <c r="B26" s="113" t="s">
        <v>283</v>
      </c>
      <c r="C26" s="114" t="s">
        <v>284</v>
      </c>
      <c r="D26" s="113">
        <v>1</v>
      </c>
      <c r="E26" s="113" t="s">
        <v>34</v>
      </c>
      <c r="F26" s="200">
        <v>0.01</v>
      </c>
      <c r="G26" s="113" t="s">
        <v>107</v>
      </c>
      <c r="H26" s="18" t="s">
        <v>37</v>
      </c>
      <c r="J26" s="167"/>
    </row>
    <row r="27" spans="1:10" ht="48.75" thickBot="1">
      <c r="A27" s="45">
        <v>9229</v>
      </c>
      <c r="B27" s="113" t="s">
        <v>285</v>
      </c>
      <c r="C27" s="114" t="s">
        <v>286</v>
      </c>
      <c r="D27" s="113">
        <v>2</v>
      </c>
      <c r="E27" s="113" t="s">
        <v>7</v>
      </c>
      <c r="F27" s="113">
        <v>0.01</v>
      </c>
      <c r="G27" s="113" t="s">
        <v>107</v>
      </c>
      <c r="H27" s="18" t="s">
        <v>37</v>
      </c>
      <c r="J27" s="167"/>
    </row>
    <row r="28" spans="1:10" ht="24.75" thickBot="1">
      <c r="A28" s="45">
        <v>9230</v>
      </c>
      <c r="B28" s="113" t="s">
        <v>263</v>
      </c>
      <c r="C28" s="174" t="s">
        <v>264</v>
      </c>
      <c r="D28" s="113">
        <v>2</v>
      </c>
      <c r="E28" s="113" t="s">
        <v>7</v>
      </c>
      <c r="F28" s="113" t="s">
        <v>858</v>
      </c>
      <c r="G28" s="113" t="s">
        <v>29</v>
      </c>
      <c r="H28" s="18" t="s">
        <v>37</v>
      </c>
      <c r="J28" s="167"/>
    </row>
    <row r="29" spans="1:10" ht="15.75" thickBot="1">
      <c r="A29" s="45">
        <v>9231</v>
      </c>
      <c r="B29" s="113" t="s">
        <v>266</v>
      </c>
      <c r="C29" s="174" t="s">
        <v>267</v>
      </c>
      <c r="D29" s="113">
        <v>2</v>
      </c>
      <c r="E29" s="113" t="s">
        <v>7</v>
      </c>
      <c r="F29" s="113" t="s">
        <v>858</v>
      </c>
      <c r="G29" s="113" t="s">
        <v>29</v>
      </c>
      <c r="H29" s="18" t="s">
        <v>37</v>
      </c>
    </row>
    <row r="30" spans="1:10" ht="24.75" thickBot="1">
      <c r="A30" s="45">
        <v>9232</v>
      </c>
      <c r="B30" s="113" t="s">
        <v>271</v>
      </c>
      <c r="C30" s="174" t="s">
        <v>314</v>
      </c>
      <c r="D30" s="113">
        <v>2</v>
      </c>
      <c r="E30" s="113" t="s">
        <v>7</v>
      </c>
      <c r="F30" s="113" t="s">
        <v>315</v>
      </c>
      <c r="G30" s="113" t="s">
        <v>107</v>
      </c>
      <c r="H30" s="18" t="s">
        <v>265</v>
      </c>
    </row>
    <row r="31" spans="1:10" ht="24.75" thickBot="1">
      <c r="A31" s="45">
        <v>9233</v>
      </c>
      <c r="B31" s="113" t="s">
        <v>273</v>
      </c>
      <c r="C31" s="174" t="s">
        <v>316</v>
      </c>
      <c r="D31" s="113">
        <v>2</v>
      </c>
      <c r="E31" s="113" t="s">
        <v>7</v>
      </c>
      <c r="F31" s="113" t="s">
        <v>315</v>
      </c>
      <c r="G31" s="113" t="s">
        <v>107</v>
      </c>
      <c r="H31" s="18" t="s">
        <v>265</v>
      </c>
    </row>
    <row r="32" spans="1:10" ht="24.75" thickBot="1">
      <c r="A32" s="45">
        <v>9234</v>
      </c>
      <c r="B32" s="113" t="s">
        <v>275</v>
      </c>
      <c r="C32" s="174" t="s">
        <v>859</v>
      </c>
      <c r="D32" s="113">
        <v>2</v>
      </c>
      <c r="E32" s="113" t="s">
        <v>7</v>
      </c>
      <c r="F32" s="113" t="s">
        <v>315</v>
      </c>
      <c r="G32" s="113" t="s">
        <v>107</v>
      </c>
      <c r="H32" s="18" t="s">
        <v>265</v>
      </c>
    </row>
  </sheetData>
  <mergeCells count="8">
    <mergeCell ref="B2:B3"/>
    <mergeCell ref="F2:F3"/>
    <mergeCell ref="G2:G3"/>
    <mergeCell ref="A1:H1"/>
    <mergeCell ref="H2:H3"/>
    <mergeCell ref="D2:D3"/>
    <mergeCell ref="E2:E3"/>
    <mergeCell ref="C2:C3"/>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D478C-AB33-4668-A015-1ED0F619A0E6}">
  <sheetPr codeName="Feuil1"/>
  <dimension ref="A1:H15"/>
  <sheetViews>
    <sheetView workbookViewId="0">
      <selection sqref="A1:H1"/>
    </sheetView>
  </sheetViews>
  <sheetFormatPr defaultColWidth="11.42578125" defaultRowHeight="15"/>
  <cols>
    <col min="1" max="1" width="11.42578125" style="112"/>
    <col min="2" max="2" width="11.42578125" style="89"/>
    <col min="3" max="3" width="36.42578125" style="89" customWidth="1"/>
    <col min="4" max="4" width="9.85546875" style="89" customWidth="1"/>
    <col min="5" max="5" width="11" style="87" customWidth="1"/>
    <col min="6" max="6" width="30.5703125" style="89" customWidth="1"/>
    <col min="7" max="7" width="11.42578125" style="112"/>
    <col min="8" max="16384" width="11.42578125" style="89"/>
  </cols>
  <sheetData>
    <row r="1" spans="1:8" ht="21.75" thickBot="1">
      <c r="A1" s="289" t="s">
        <v>18</v>
      </c>
      <c r="B1" s="289"/>
      <c r="C1" s="289"/>
      <c r="D1" s="289"/>
      <c r="E1" s="289"/>
      <c r="F1" s="289"/>
      <c r="G1" s="289"/>
      <c r="H1" s="289"/>
    </row>
    <row r="2" spans="1:8">
      <c r="A2" s="105" t="s">
        <v>19</v>
      </c>
      <c r="B2" s="228" t="s">
        <v>20</v>
      </c>
      <c r="C2" s="228" t="s">
        <v>21</v>
      </c>
      <c r="D2" s="228" t="s">
        <v>22</v>
      </c>
      <c r="E2" s="228" t="s">
        <v>23</v>
      </c>
      <c r="F2" s="228" t="s">
        <v>24</v>
      </c>
      <c r="G2" s="228" t="s">
        <v>348</v>
      </c>
      <c r="H2" s="228" t="s">
        <v>26</v>
      </c>
    </row>
    <row r="3" spans="1:8" ht="15.75" thickBot="1">
      <c r="A3" s="218" t="s">
        <v>27</v>
      </c>
      <c r="B3" s="232"/>
      <c r="C3" s="232"/>
      <c r="D3" s="232"/>
      <c r="E3" s="232"/>
      <c r="F3" s="232"/>
      <c r="G3" s="232"/>
      <c r="H3" s="232"/>
    </row>
    <row r="4" spans="1:8" ht="15.75" thickBot="1">
      <c r="A4" s="107" t="s">
        <v>860</v>
      </c>
      <c r="B4" s="292" t="s">
        <v>801</v>
      </c>
      <c r="C4" s="292"/>
      <c r="D4" s="292"/>
      <c r="E4" s="292"/>
      <c r="F4" s="292"/>
      <c r="G4" s="292"/>
      <c r="H4" s="293"/>
    </row>
    <row r="5" spans="1:8" ht="24.75" thickBot="1">
      <c r="A5" s="108">
        <v>21020</v>
      </c>
      <c r="B5" s="109"/>
      <c r="C5" s="102" t="s">
        <v>861</v>
      </c>
      <c r="D5" s="55">
        <v>1</v>
      </c>
      <c r="E5" s="106" t="s">
        <v>114</v>
      </c>
      <c r="F5" s="16" t="s">
        <v>862</v>
      </c>
      <c r="G5" s="55" t="s">
        <v>107</v>
      </c>
      <c r="H5" s="18" t="s">
        <v>37</v>
      </c>
    </row>
    <row r="6" spans="1:8" ht="36.75" thickBot="1">
      <c r="A6" s="110">
        <v>21021</v>
      </c>
      <c r="B6" s="55"/>
      <c r="C6" s="16" t="s">
        <v>863</v>
      </c>
      <c r="D6" s="55">
        <v>1</v>
      </c>
      <c r="E6" s="106" t="s">
        <v>114</v>
      </c>
      <c r="F6" s="103" t="s">
        <v>864</v>
      </c>
      <c r="G6" s="55" t="s">
        <v>107</v>
      </c>
      <c r="H6" s="18" t="s">
        <v>37</v>
      </c>
    </row>
    <row r="7" spans="1:8" ht="24.75" thickBot="1">
      <c r="A7" s="110">
        <v>21022</v>
      </c>
      <c r="B7" s="55"/>
      <c r="C7" s="16" t="s">
        <v>865</v>
      </c>
      <c r="D7" s="55">
        <v>1</v>
      </c>
      <c r="E7" s="106" t="s">
        <v>34</v>
      </c>
      <c r="F7" s="103" t="s">
        <v>866</v>
      </c>
      <c r="G7" s="55" t="s">
        <v>107</v>
      </c>
      <c r="H7" s="18" t="s">
        <v>37</v>
      </c>
    </row>
    <row r="8" spans="1:8" ht="15.75" thickBot="1">
      <c r="A8" s="110">
        <v>21023</v>
      </c>
      <c r="B8" s="55"/>
      <c r="C8" s="16" t="s">
        <v>867</v>
      </c>
      <c r="D8" s="55">
        <v>1</v>
      </c>
      <c r="E8" s="106" t="s">
        <v>34</v>
      </c>
      <c r="F8" s="103" t="s">
        <v>110</v>
      </c>
      <c r="G8" s="55" t="s">
        <v>107</v>
      </c>
      <c r="H8" s="18" t="s">
        <v>37</v>
      </c>
    </row>
    <row r="9" spans="1:8" ht="15.75" thickBot="1">
      <c r="A9" s="110">
        <v>21024</v>
      </c>
      <c r="B9" s="55"/>
      <c r="C9" s="16" t="s">
        <v>868</v>
      </c>
      <c r="D9" s="55">
        <v>2</v>
      </c>
      <c r="E9" s="106" t="s">
        <v>9</v>
      </c>
      <c r="F9" s="103" t="s">
        <v>869</v>
      </c>
      <c r="G9" s="55" t="s">
        <v>107</v>
      </c>
      <c r="H9" s="18" t="s">
        <v>37</v>
      </c>
    </row>
    <row r="10" spans="1:8" ht="36.75" thickBot="1">
      <c r="A10" s="110">
        <v>21025</v>
      </c>
      <c r="B10" s="55"/>
      <c r="C10" s="16" t="s">
        <v>870</v>
      </c>
      <c r="D10" s="55">
        <v>1</v>
      </c>
      <c r="E10" s="106" t="s">
        <v>114</v>
      </c>
      <c r="F10" s="104" t="s">
        <v>871</v>
      </c>
      <c r="G10" s="55" t="s">
        <v>107</v>
      </c>
      <c r="H10" s="18" t="s">
        <v>37</v>
      </c>
    </row>
    <row r="11" spans="1:8" ht="36.75" thickBot="1">
      <c r="A11" s="120">
        <v>21026</v>
      </c>
      <c r="B11" s="55" t="s">
        <v>872</v>
      </c>
      <c r="C11" s="104" t="s">
        <v>873</v>
      </c>
      <c r="D11" s="55">
        <v>1</v>
      </c>
      <c r="E11" s="55" t="s">
        <v>114</v>
      </c>
      <c r="F11" s="104" t="s">
        <v>871</v>
      </c>
      <c r="G11" s="55" t="s">
        <v>107</v>
      </c>
      <c r="H11" s="18" t="s">
        <v>37</v>
      </c>
    </row>
    <row r="12" spans="1:8" ht="15.75" thickBot="1">
      <c r="A12" s="120">
        <v>21027</v>
      </c>
      <c r="B12" s="55" t="s">
        <v>874</v>
      </c>
      <c r="C12" s="104" t="s">
        <v>875</v>
      </c>
      <c r="D12" s="55">
        <v>1</v>
      </c>
      <c r="E12" s="106" t="s">
        <v>34</v>
      </c>
      <c r="F12" s="104" t="s">
        <v>876</v>
      </c>
      <c r="G12" s="55" t="s">
        <v>29</v>
      </c>
      <c r="H12" s="18" t="s">
        <v>37</v>
      </c>
    </row>
    <row r="13" spans="1:8" ht="24.75" thickBot="1">
      <c r="A13" s="120">
        <v>21028</v>
      </c>
      <c r="B13" s="55" t="s">
        <v>877</v>
      </c>
      <c r="C13" s="104" t="s">
        <v>878</v>
      </c>
      <c r="D13" s="55">
        <v>1</v>
      </c>
      <c r="E13" s="55" t="s">
        <v>114</v>
      </c>
      <c r="F13" s="104" t="s">
        <v>879</v>
      </c>
      <c r="G13" s="55" t="s">
        <v>107</v>
      </c>
      <c r="H13" s="18" t="s">
        <v>37</v>
      </c>
    </row>
    <row r="14" spans="1:8" ht="15.75" thickBot="1">
      <c r="A14" s="120">
        <v>21029</v>
      </c>
      <c r="B14" s="55"/>
      <c r="C14" s="104" t="s">
        <v>880</v>
      </c>
      <c r="D14" s="55">
        <v>2</v>
      </c>
      <c r="E14" s="55" t="s">
        <v>9</v>
      </c>
      <c r="F14" s="104" t="s">
        <v>112</v>
      </c>
      <c r="G14" s="55" t="s">
        <v>29</v>
      </c>
      <c r="H14" s="18" t="s">
        <v>37</v>
      </c>
    </row>
    <row r="15" spans="1:8" ht="36.75" thickBot="1">
      <c r="A15" s="120">
        <v>21030</v>
      </c>
      <c r="B15" s="55" t="s">
        <v>881</v>
      </c>
      <c r="C15" s="104" t="s">
        <v>882</v>
      </c>
      <c r="D15" s="55">
        <v>2</v>
      </c>
      <c r="E15" s="55" t="s">
        <v>7</v>
      </c>
      <c r="F15" s="104" t="s">
        <v>690</v>
      </c>
      <c r="G15" s="55" t="s">
        <v>107</v>
      </c>
      <c r="H15" s="18" t="s">
        <v>37</v>
      </c>
    </row>
  </sheetData>
  <mergeCells count="9">
    <mergeCell ref="A1:H1"/>
    <mergeCell ref="F2:F3"/>
    <mergeCell ref="G2:G3"/>
    <mergeCell ref="H2:H3"/>
    <mergeCell ref="B4:H4"/>
    <mergeCell ref="B2:B3"/>
    <mergeCell ref="C2:C3"/>
    <mergeCell ref="D2:D3"/>
    <mergeCell ref="E2:E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Beschrijving xmlns="e6777924-647a-4235-a12f-abd8405cbff5" xsi:nil="true"/>
    <_Flow_SignoffStatus xmlns="e6777924-647a-4235-a12f-abd8405cbff5" xsi:nil="true"/>
    <lcf76f155ced4ddcb4097134ff3c332f xmlns="e6777924-647a-4235-a12f-abd8405cbff5">
      <Terms xmlns="http://schemas.microsoft.com/office/infopath/2007/PartnerControls"/>
    </lcf76f155ced4ddcb4097134ff3c332f>
    <TaxCatchAll xmlns="96f29fa3-60d5-4ab9-82c4-4d93f9bd4cd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609F1AD81B293479F3716A1D8AB04E1" ma:contentTypeVersion="21" ma:contentTypeDescription="Een nieuw document maken." ma:contentTypeScope="" ma:versionID="da92f927daa11a8d0a7d99e8da1a2c4b">
  <xsd:schema xmlns:xsd="http://www.w3.org/2001/XMLSchema" xmlns:xs="http://www.w3.org/2001/XMLSchema" xmlns:p="http://schemas.microsoft.com/office/2006/metadata/properties" xmlns:ns2="e6777924-647a-4235-a12f-abd8405cbff5" xmlns:ns3="8abfaf85-f2e2-41b5-bd7d-6d36cd62b774" xmlns:ns4="96f29fa3-60d5-4ab9-82c4-4d93f9bd4cdc" targetNamespace="http://schemas.microsoft.com/office/2006/metadata/properties" ma:root="true" ma:fieldsID="eabf628ecb4dcb56b5163c65a6291c1e" ns2:_="" ns3:_="" ns4:_="">
    <xsd:import namespace="e6777924-647a-4235-a12f-abd8405cbff5"/>
    <xsd:import namespace="8abfaf85-f2e2-41b5-bd7d-6d36cd62b774"/>
    <xsd:import namespace="96f29fa3-60d5-4ab9-82c4-4d93f9bd4cd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_Flow_SignoffStatus"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SearchProperties" minOccurs="0"/>
                <xsd:element ref="ns2:MediaServiceObjectDetectorVersions" minOccurs="0"/>
                <xsd:element ref="ns2:Beschrijvi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777924-647a-4235-a12f-abd8405cbf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Location" ma:index="14" nillable="true" ma:displayName="Location" ma:internalName="MediaServiceLocatio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_Flow_SignoffStatus" ma:index="16" nillable="true" ma:displayName="Sign-off status" ma:internalName="Sign_x002d_off_x0020_status">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Afbeeldingtags" ma:readOnly="false" ma:fieldId="{5cf76f15-5ced-4ddc-b409-7134ff3c332f}" ma:taxonomyMulti="true" ma:sspId="91241e69-c7a6-468d-bbd8-1f604571f097"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Beschrijving" ma:index="26" nillable="true" ma:displayName="Beschrijving" ma:format="Dropdown" ma:internalName="Beschrijving">
      <xsd:simpleType>
        <xsd:restriction base="dms:Text">
          <xsd:maxLength value="255"/>
        </xsd:restriction>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abfaf85-f2e2-41b5-bd7d-6d36cd62b774" elementFormDefault="qualified">
    <xsd:import namespace="http://schemas.microsoft.com/office/2006/documentManagement/types"/>
    <xsd:import namespace="http://schemas.microsoft.com/office/infopath/2007/PartnerControls"/>
    <xsd:element name="SharedWithUsers" ma:index="19"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6f29fa3-60d5-4ab9-82c4-4d93f9bd4cdc"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7bc19477-16b3-41e1-af57-4f1c32ab8060}" ma:internalName="TaxCatchAll" ma:showField="CatchAllData" ma:web="8abfaf85-f2e2-41b5-bd7d-6d36cd62b7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1939DC-EA11-4D01-8DBA-0B22689B102C}"/>
</file>

<file path=customXml/itemProps2.xml><?xml version="1.0" encoding="utf-8"?>
<ds:datastoreItem xmlns:ds="http://schemas.openxmlformats.org/officeDocument/2006/customXml" ds:itemID="{95FEFE40-80BB-4F1C-B6AD-63BF1E8B7103}"/>
</file>

<file path=customXml/itemProps3.xml><?xml version="1.0" encoding="utf-8"?>
<ds:datastoreItem xmlns:ds="http://schemas.openxmlformats.org/officeDocument/2006/customXml" ds:itemID="{5778DA5B-CC41-480B-8602-6B656E8B6ADD}"/>
</file>

<file path=docProps/app.xml><?xml version="1.0" encoding="utf-8"?>
<Properties xmlns="http://schemas.openxmlformats.org/officeDocument/2006/extended-properties" xmlns:vt="http://schemas.openxmlformats.org/officeDocument/2006/docPropsVTypes">
  <Application>Microsoft Excel Online</Application>
  <Manager/>
  <Company>De Dietrich Thermique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Zaikh Zakaria</dc:creator>
  <cp:keywords/>
  <dc:description/>
  <cp:lastModifiedBy/>
  <cp:revision/>
  <dcterms:created xsi:type="dcterms:W3CDTF">2018-10-24T11:50:11Z</dcterms:created>
  <dcterms:modified xsi:type="dcterms:W3CDTF">2025-11-18T10:48:38Z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0x010100F609F1AD81B293479F3716A1D8AB04E1</vt:lpwstr>
  </property>
  <property fmtid="{D5CDD505-2E9C-101B-9397-08002B2CF9AE}" pid="3" name="MediaServiceImageTags">
    <vt:lpwstr/>
  </property>
</Properties>
</file>